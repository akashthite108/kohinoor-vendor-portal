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42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i val="1"/>
      <color rgb="FF333333"/>
      <sz val="10"/>
    </font>
    <font>
      <name val="Microsoft YaHei"/>
      <charset val="134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0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8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1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5" applyAlignment="1">
      <alignment vertical="center"/>
    </xf>
    <xf numFmtId="0" fontId="15" fillId="0" borderId="15" applyAlignment="1">
      <alignment vertical="center"/>
    </xf>
    <xf numFmtId="0" fontId="16" fillId="0" borderId="16" applyAlignment="1">
      <alignment vertical="center"/>
    </xf>
    <xf numFmtId="0" fontId="16" fillId="0" borderId="0" applyAlignment="1">
      <alignment vertical="center"/>
    </xf>
    <xf numFmtId="0" fontId="17" fillId="7" borderId="17" applyAlignment="1">
      <alignment vertical="center"/>
    </xf>
    <xf numFmtId="0" fontId="18" fillId="8" borderId="18" applyAlignment="1">
      <alignment vertical="center"/>
    </xf>
    <xf numFmtId="0" fontId="19" fillId="8" borderId="17" applyAlignment="1">
      <alignment vertical="center"/>
    </xf>
    <xf numFmtId="0" fontId="20" fillId="9" borderId="19" applyAlignment="1">
      <alignment vertical="center"/>
    </xf>
    <xf numFmtId="0" fontId="21" fillId="0" borderId="20" applyAlignment="1">
      <alignment vertical="center"/>
    </xf>
    <xf numFmtId="0" fontId="22" fillId="0" borderId="2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8" pivotButton="0" quotePrefix="0" xfId="0"/>
    <xf numFmtId="0" fontId="0" fillId="0" borderId="2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workbookViewId="0">
      <selection activeCell="J3" sqref="J3"/>
    </sheetView>
  </sheetViews>
  <sheetFormatPr baseColWidth="8" defaultColWidth="9" defaultRowHeight="15"/>
  <cols>
    <col width="18.4285714285714" customWidth="1" min="1" max="1"/>
    <col width="31.2095238095238" customWidth="1" min="2" max="2"/>
    <col width="15" customWidth="1" min="3" max="3"/>
    <col width="10.7142857142857" customWidth="1" min="4" max="4"/>
    <col width="28.1428571428571" customWidth="1" min="5" max="5"/>
    <col width="22.3333333333333" customWidth="1" min="6" max="6"/>
    <col width="16.7142857142857" customWidth="1" min="7" max="7"/>
    <col width="23.2857142857143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8" t="inlineStr">
        <is>
          <t>Project Name :</t>
        </is>
      </c>
      <c r="B4" s="31" t="inlineStr">
        <is>
          <t>Kohinoor West View</t>
        </is>
      </c>
      <c r="C4" s="50" t="n"/>
      <c r="D4" s="51" t="n"/>
      <c r="E4" s="12" t="inlineStr">
        <is>
          <t>Vendor Legal Name :</t>
        </is>
      </c>
      <c r="F4" s="6" t="inlineStr">
        <is>
          <t>ASHVEE ELECTRICAL SERVICES</t>
        </is>
      </c>
      <c r="G4" s="50" t="n"/>
      <c r="H4" s="52" t="n"/>
    </row>
    <row r="5" ht="18.5" customHeight="1">
      <c r="A5" s="8" t="inlineStr">
        <is>
          <t>Tower /Location :</t>
        </is>
      </c>
      <c r="B5" s="31" t="inlineStr">
        <is>
          <t>Tower A - Phase 2</t>
        </is>
      </c>
      <c r="C5" s="50" t="n"/>
      <c r="D5" s="51" t="n"/>
      <c r="E5" s="12" t="inlineStr">
        <is>
          <t>Quotation Ref No :</t>
        </is>
      </c>
      <c r="F5" s="6" t="inlineStr">
        <is>
          <t>RFQ-738285</t>
        </is>
      </c>
      <c r="G5" s="50" t="n"/>
      <c r="H5" s="52" t="n"/>
    </row>
    <row r="6" ht="18.5" customHeight="1">
      <c r="A6" s="8" t="inlineStr">
        <is>
          <t>Enquiry Date :</t>
        </is>
      </c>
      <c r="B6" s="31" t="inlineStr">
        <is>
          <t>2026-10-12</t>
        </is>
      </c>
      <c r="C6" s="50" t="n"/>
      <c r="D6" s="51" t="n"/>
      <c r="E6" s="12" t="inlineStr">
        <is>
          <t>Quotation Date :</t>
        </is>
      </c>
      <c r="F6" s="6" t="inlineStr">
        <is>
          <t>2026-10-12</t>
        </is>
      </c>
      <c r="G6" s="50" t="n"/>
      <c r="H6" s="52" t="n"/>
    </row>
    <row r="7" ht="35" customHeight="1">
      <c r="A7" s="8" t="inlineStr">
        <is>
          <t>Buyer Org :</t>
        </is>
      </c>
      <c r="B7" s="25" t="inlineStr">
        <is>
          <t>Kohinoor Group</t>
        </is>
      </c>
      <c r="C7" s="50" t="n"/>
      <c r="D7" s="51" t="n"/>
      <c r="E7" s="12" t="inlineStr">
        <is>
          <t>Vendor GSTIN No :</t>
        </is>
      </c>
      <c r="F7" s="6" t="inlineStr">
        <is>
          <t>27AGYPG0640G1ZB</t>
        </is>
      </c>
      <c r="G7" s="50" t="n"/>
      <c r="H7" s="52" t="n"/>
    </row>
    <row r="8" ht="35" customHeight="1">
      <c r="A8" s="8" t="inlineStr">
        <is>
          <t>Buyer Contact :</t>
        </is>
      </c>
      <c r="B8" s="25" t="inlineStr">
        <is>
          <t>Purchase Dept</t>
        </is>
      </c>
      <c r="C8" s="50" t="n"/>
      <c r="D8" s="51" t="n"/>
      <c r="E8" s="12" t="inlineStr">
        <is>
          <t>Vendor Contact Person :</t>
        </is>
      </c>
      <c r="F8" s="6" t="inlineStr">
        <is>
          <t>AJAY GARAD- 8669663848</t>
        </is>
      </c>
      <c r="G8" s="50" t="n"/>
      <c r="H8" s="52" t="n"/>
    </row>
    <row r="9" ht="18.5" customHeight="1">
      <c r="A9" s="7" t="inlineStr">
        <is>
          <t>2. ITEM-BY-ITEM PRICE BID (BILL OF QUANTITIES)</t>
        </is>
      </c>
      <c r="B9" s="50" t="n"/>
      <c r="C9" s="50" t="n"/>
      <c r="D9" s="50" t="n"/>
      <c r="E9" s="50" t="n"/>
      <c r="F9" s="50" t="n"/>
      <c r="G9" s="50" t="n"/>
      <c r="H9" s="51" t="n"/>
    </row>
    <row r="10" ht="35" customHeight="1">
      <c r="A10" s="20" t="inlineStr">
        <is>
          <t>Sr.No</t>
        </is>
      </c>
      <c r="B10" s="22" t="inlineStr">
        <is>
          <t>Technical Scope / Material Description</t>
        </is>
      </c>
      <c r="C10" s="51" t="n"/>
      <c r="D10" s="22" t="inlineStr">
        <is>
          <t>Qty</t>
        </is>
      </c>
      <c r="E10" s="22" t="inlineStr">
        <is>
          <t>Unit</t>
        </is>
      </c>
      <c r="F10" s="22" t="inlineStr">
        <is>
          <t>Make / Brand Offered</t>
        </is>
      </c>
      <c r="G10" s="22" t="inlineStr">
        <is>
          <t>Basic Unit Rate (Rate R0) [₹]</t>
        </is>
      </c>
      <c r="H10" s="23" t="inlineStr">
        <is>
          <t>Total Basic Amount [₹]</t>
        </is>
      </c>
    </row>
    <row r="11" ht="32" customHeight="1">
      <c r="A11" s="24" t="n">
        <v>1</v>
      </c>
      <c r="B11" s="25" t="inlineStr">
        <is>
          <t>RMU Transformer 22KV 630A 2+2</t>
        </is>
      </c>
      <c r="C11" s="51" t="n"/>
      <c r="D11" s="31" t="n">
        <v>5</v>
      </c>
      <c r="E11" s="31" t="inlineStr">
        <is>
          <t>Nos</t>
        </is>
      </c>
      <c r="F11" s="40" t="inlineStr">
        <is>
          <t>C-SEC</t>
        </is>
      </c>
      <c r="G11" s="40" t="n">
        <v>880000</v>
      </c>
      <c r="H11" s="41">
        <f>D11*G11</f>
        <v/>
      </c>
    </row>
    <row r="12" ht="18.5" customHeight="1">
      <c r="A12" s="24" t="n">
        <v>2</v>
      </c>
      <c r="B12" s="31" t="inlineStr">
        <is>
          <t>RMU Transformer 22KV 630A 2+1</t>
        </is>
      </c>
      <c r="C12" s="51" t="n"/>
      <c r="D12" s="31" t="n">
        <v>1</v>
      </c>
      <c r="E12" s="31" t="inlineStr">
        <is>
          <t>Nos</t>
        </is>
      </c>
      <c r="F12" s="40" t="inlineStr">
        <is>
          <t>C-SEC</t>
        </is>
      </c>
      <c r="G12" s="40" t="n">
        <v>680000</v>
      </c>
      <c r="H12" s="41">
        <f>D12*G12</f>
        <v/>
      </c>
    </row>
    <row r="13" ht="18.5" customHeight="1">
      <c r="A13" s="24" t="n">
        <v>3</v>
      </c>
      <c r="B13" s="31" t="n"/>
      <c r="C13" s="51" t="n"/>
      <c r="D13" s="31" t="n"/>
      <c r="E13" s="31" t="n"/>
      <c r="F13" s="40" t="n"/>
      <c r="G13" s="40" t="n"/>
      <c r="H13" s="41" t="n"/>
    </row>
    <row r="14" ht="18.5" customHeight="1">
      <c r="A14" s="32" t="inlineStr">
        <is>
          <t>TOTAL BASIC BID VALUE (EXCL. TAXES &amp; FREIGHT)</t>
        </is>
      </c>
      <c r="B14" s="50" t="n"/>
      <c r="C14" s="50" t="n"/>
      <c r="D14" s="50" t="n"/>
      <c r="E14" s="50" t="n"/>
      <c r="F14" s="50" t="n"/>
      <c r="G14" s="51" t="n"/>
      <c r="H14" s="33">
        <f>SUM(H11:H13)</f>
        <v/>
      </c>
    </row>
    <row r="15" ht="18.5" customHeight="1">
      <c r="A15" s="7" t="inlineStr">
        <is>
          <t>3. COMMERCIAL TERMS, TAXATION &amp; LOGISTICS SCHEDULE</t>
        </is>
      </c>
      <c r="B15" s="50" t="n"/>
      <c r="C15" s="50" t="n"/>
      <c r="D15" s="50" t="n"/>
      <c r="E15" s="50" t="n"/>
      <c r="F15" s="50" t="n"/>
      <c r="G15" s="50" t="n"/>
      <c r="H15" s="51" t="n"/>
    </row>
    <row r="16" ht="18.5" customHeight="1">
      <c r="A16" s="34" t="inlineStr">
        <is>
          <t>Sr</t>
        </is>
      </c>
      <c r="B16" s="36" t="inlineStr">
        <is>
          <t>Commercial Parameter</t>
        </is>
      </c>
      <c r="C16" s="50" t="n"/>
      <c r="D16" s="51" t="n"/>
      <c r="E16" s="36" t="inlineStr">
        <is>
          <t>Vendor Declared Terms (Select or Enter Value)</t>
        </is>
      </c>
      <c r="F16" s="50" t="n"/>
      <c r="G16" s="51" t="n"/>
      <c r="H16" s="37" t="inlineStr">
        <is>
          <t>Cost Implication [₹]</t>
        </is>
      </c>
    </row>
    <row r="17" ht="18.5" customHeight="1">
      <c r="A17" s="38" t="n">
        <v>1</v>
      </c>
      <c r="B17" s="39" t="inlineStr">
        <is>
          <t>Basic Value</t>
        </is>
      </c>
      <c r="C17" s="50" t="n"/>
      <c r="D17" s="51" t="n"/>
      <c r="E17" s="40" t="n"/>
      <c r="F17" s="50" t="n"/>
      <c r="G17" s="51" t="n"/>
      <c r="H17" s="41">
        <f>H14</f>
        <v/>
      </c>
    </row>
    <row r="18" ht="18.5" customHeight="1">
      <c r="A18" s="38" t="n">
        <v>2</v>
      </c>
      <c r="B18" s="39" t="inlineStr">
        <is>
          <t>Transport</t>
        </is>
      </c>
      <c r="C18" s="50" t="n"/>
      <c r="D18" s="51" t="n"/>
      <c r="E18" s="40" t="inlineStr">
        <is>
          <t xml:space="preserve">APPLICABLE </t>
        </is>
      </c>
      <c r="F18" s="50" t="n"/>
      <c r="G18" s="51" t="n"/>
      <c r="H18" s="41">
        <f>H14</f>
        <v/>
      </c>
    </row>
    <row r="19" ht="18.5" customHeight="1">
      <c r="A19" s="38" t="n">
        <v>3</v>
      </c>
      <c r="B19" s="39" t="inlineStr">
        <is>
          <t>GST</t>
        </is>
      </c>
      <c r="C19" s="50" t="n"/>
      <c r="D19" s="51" t="n"/>
      <c r="E19" s="40" t="inlineStr">
        <is>
          <t>18% GST</t>
        </is>
      </c>
      <c r="F19" s="50" t="n"/>
      <c r="G19" s="51" t="n"/>
      <c r="H19" s="41">
        <f>(H17+H18)*0.18</f>
        <v/>
      </c>
    </row>
    <row r="20" ht="18.5" customHeight="1">
      <c r="A20" s="38" t="n">
        <v>4</v>
      </c>
      <c r="B20" s="39" t="inlineStr">
        <is>
          <t>Final Value / Amount</t>
        </is>
      </c>
      <c r="C20" s="50" t="n"/>
      <c r="D20" s="51" t="n"/>
      <c r="E20" s="40" t="n"/>
      <c r="F20" s="50" t="n"/>
      <c r="G20" s="51" t="n"/>
      <c r="H20" s="41">
        <f>H17+H18+H19</f>
        <v/>
      </c>
    </row>
    <row r="21" ht="18.5" customHeight="1">
      <c r="A21" s="38" t="n">
        <v>5</v>
      </c>
      <c r="B21" s="39" t="inlineStr">
        <is>
          <t>Loading</t>
        </is>
      </c>
      <c r="C21" s="50" t="n"/>
      <c r="D21" s="51" t="n"/>
      <c r="E21" s="40" t="inlineStr">
        <is>
          <t>Included</t>
        </is>
      </c>
      <c r="F21" s="50" t="n"/>
      <c r="G21" s="51" t="n"/>
      <c r="H21" s="41" t="inlineStr">
        <is>
          <t>-</t>
        </is>
      </c>
    </row>
    <row r="22" ht="18.5" customHeight="1">
      <c r="A22" s="38" t="n">
        <v>6</v>
      </c>
      <c r="B22" s="39" t="inlineStr">
        <is>
          <t>Unloading</t>
        </is>
      </c>
      <c r="C22" s="50" t="n"/>
      <c r="D22" s="51" t="n"/>
      <c r="E22" s="40" t="inlineStr">
        <is>
          <t>Buyer Scope</t>
        </is>
      </c>
      <c r="F22" s="50" t="n"/>
      <c r="G22" s="51" t="n"/>
      <c r="H22" s="41" t="inlineStr">
        <is>
          <t>-</t>
        </is>
      </c>
    </row>
    <row r="23" ht="18.5" customHeight="1">
      <c r="A23" s="38" t="n">
        <v>7</v>
      </c>
      <c r="B23" s="39" t="inlineStr">
        <is>
          <t>Insurance</t>
        </is>
      </c>
      <c r="C23" s="50" t="n"/>
      <c r="D23" s="51" t="n"/>
      <c r="E23" s="40" t="inlineStr">
        <is>
          <t>Not Applicable</t>
        </is>
      </c>
      <c r="F23" s="50" t="n"/>
      <c r="G23" s="51" t="n"/>
      <c r="H23" s="41" t="inlineStr">
        <is>
          <t>-</t>
        </is>
      </c>
    </row>
    <row r="24" ht="18.5" customHeight="1">
      <c r="A24" s="38" t="n">
        <v>8</v>
      </c>
      <c r="B24" s="39" t="inlineStr">
        <is>
          <t>Erection / Commissioning / Installation</t>
        </is>
      </c>
      <c r="C24" s="50" t="n"/>
      <c r="D24" s="51" t="n"/>
      <c r="E24" s="40" t="inlineStr">
        <is>
          <t>Included</t>
        </is>
      </c>
      <c r="F24" s="50" t="n"/>
      <c r="G24" s="51" t="n"/>
      <c r="H24" s="41" t="inlineStr">
        <is>
          <t>-</t>
        </is>
      </c>
    </row>
    <row r="25" ht="18.5" customHeight="1">
      <c r="A25" s="38" t="n">
        <v>9</v>
      </c>
      <c r="B25" s="39" t="inlineStr">
        <is>
          <t>Warranty</t>
        </is>
      </c>
      <c r="C25" s="50" t="n"/>
      <c r="D25" s="51" t="n"/>
      <c r="E25" s="40" t="inlineStr">
        <is>
          <t>5 Year Standard</t>
        </is>
      </c>
      <c r="F25" s="50" t="n"/>
      <c r="G25" s="51" t="n"/>
      <c r="H25" s="41" t="inlineStr">
        <is>
          <t>-</t>
        </is>
      </c>
    </row>
    <row r="26" ht="18.5" customHeight="1">
      <c r="A26" s="38" t="n">
        <v>10</v>
      </c>
      <c r="B26" s="39" t="inlineStr">
        <is>
          <t>Guarantee</t>
        </is>
      </c>
      <c r="C26" s="50" t="n"/>
      <c r="D26" s="51" t="n"/>
      <c r="E26" s="40" t="inlineStr">
        <is>
          <t>NA</t>
        </is>
      </c>
      <c r="F26" s="50" t="n"/>
      <c r="G26" s="51" t="n"/>
      <c r="H26" s="41" t="inlineStr">
        <is>
          <t>-</t>
        </is>
      </c>
    </row>
    <row r="27" ht="18.5" customHeight="1">
      <c r="A27" s="38" t="n">
        <v>11</v>
      </c>
      <c r="B27" s="39" t="inlineStr">
        <is>
          <t>Earlier Supplied</t>
        </is>
      </c>
      <c r="C27" s="50" t="n"/>
      <c r="D27" s="51" t="n"/>
      <c r="E27" s="40" t="inlineStr">
        <is>
          <t>Yes</t>
        </is>
      </c>
      <c r="F27" s="50" t="n"/>
      <c r="G27" s="51" t="n"/>
      <c r="H27" s="41" t="inlineStr">
        <is>
          <t>-</t>
        </is>
      </c>
    </row>
    <row r="28" ht="18.5" customHeight="1">
      <c r="A28" s="38" t="n">
        <v>12</v>
      </c>
      <c r="B28" s="39" t="inlineStr">
        <is>
          <t>Delivery Timeline</t>
        </is>
      </c>
      <c r="C28" s="50" t="n"/>
      <c r="D28" s="51" t="n"/>
      <c r="E28" s="40" t="inlineStr">
        <is>
          <t>5-6 WEEKS</t>
        </is>
      </c>
      <c r="F28" s="50" t="n"/>
      <c r="G28" s="51" t="n"/>
      <c r="H28" s="41" t="inlineStr">
        <is>
          <t>-</t>
        </is>
      </c>
    </row>
    <row r="29" ht="18.5" customHeight="1">
      <c r="A29" s="38" t="n">
        <v>13</v>
      </c>
      <c r="B29" s="39" t="inlineStr">
        <is>
          <t>Payment Terms</t>
        </is>
      </c>
      <c r="C29" s="50" t="n"/>
      <c r="D29" s="51" t="n"/>
      <c r="E29" s="40" t="inlineStr">
        <is>
          <t>40% Advance</t>
        </is>
      </c>
      <c r="F29" s="50" t="n"/>
      <c r="G29" s="51" t="n"/>
      <c r="H29" s="41" t="inlineStr">
        <is>
          <t>-</t>
        </is>
      </c>
    </row>
    <row r="30" ht="18.5" customHeight="1">
      <c r="A30" s="42" t="n">
        <v>14</v>
      </c>
      <c r="B30" s="43" t="inlineStr">
        <is>
          <t>Price Validity</t>
        </is>
      </c>
      <c r="C30" s="53" t="n"/>
      <c r="D30" s="54" t="n"/>
      <c r="E30" s="45" t="inlineStr">
        <is>
          <t>30 Days</t>
        </is>
      </c>
      <c r="F30" s="53" t="n"/>
      <c r="G30" s="54" t="n"/>
      <c r="H30" s="46" t="inlineStr">
        <is>
          <t>-</t>
        </is>
      </c>
    </row>
  </sheetData>
  <mergeCells count="50">
    <mergeCell ref="A9:H9"/>
    <mergeCell ref="A14:G14"/>
    <mergeCell ref="E28:G28"/>
    <mergeCell ref="F5:H5"/>
    <mergeCell ref="A15:H15"/>
    <mergeCell ref="E19:G19"/>
    <mergeCell ref="B23:D23"/>
    <mergeCell ref="B8:D8"/>
    <mergeCell ref="B17:D17"/>
    <mergeCell ref="F8:H8"/>
    <mergeCell ref="E30:G30"/>
    <mergeCell ref="A1:H1"/>
    <mergeCell ref="B29:D29"/>
    <mergeCell ref="B12:C12"/>
    <mergeCell ref="B28:D28"/>
    <mergeCell ref="B19:D19"/>
    <mergeCell ref="B11:C11"/>
    <mergeCell ref="E27:G27"/>
    <mergeCell ref="E26:G26"/>
    <mergeCell ref="B30:D30"/>
    <mergeCell ref="B6:D6"/>
    <mergeCell ref="B24:D24"/>
    <mergeCell ref="E25:G25"/>
    <mergeCell ref="B20:D20"/>
    <mergeCell ref="E16:G16"/>
    <mergeCell ref="B13:C13"/>
    <mergeCell ref="A3:H3"/>
    <mergeCell ref="B5:D5"/>
    <mergeCell ref="E22:G22"/>
    <mergeCell ref="A2:H2"/>
    <mergeCell ref="B4:D4"/>
    <mergeCell ref="B10:C10"/>
    <mergeCell ref="B26:D26"/>
    <mergeCell ref="F4:H4"/>
    <mergeCell ref="E18:G18"/>
    <mergeCell ref="E21:G21"/>
    <mergeCell ref="B7:D7"/>
    <mergeCell ref="B25:D25"/>
    <mergeCell ref="B16:D16"/>
    <mergeCell ref="E24:G24"/>
    <mergeCell ref="F6:H6"/>
    <mergeCell ref="B22:D22"/>
    <mergeCell ref="E23:G23"/>
    <mergeCell ref="B18:D18"/>
    <mergeCell ref="E17:G17"/>
    <mergeCell ref="B27:D27"/>
    <mergeCell ref="B21:D21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2026-10-17T06:15:04Z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
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i val="1"/>
      <color rgb="FF333333"/>
      <sz val="10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color theme="1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b val="1"/>
      <sz val="10"/>
    </font>
  </fonts>
  <fills count="41">
    <fill>
      <patternFill/>
    </fill>
    <fill>
      <patternFill patternType="gray125"/>
    </fill>
    <fill>
      <patternFill patternType="solid">
        <fgColor theme="3" tint="0.4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3" tint="0.4"/>
        <bgColor indexed="64"/>
      </patternFill>
    </fill>
    <fill>
      <patternFill patternType="solid">
        <fgColor theme="0" tint="-0.15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5ACE86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10" borderId="1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8" applyAlignment="1">
      <alignment vertical="center"/>
    </xf>
    <xf numFmtId="0" fontId="15" fillId="0" borderId="18" applyAlignment="1">
      <alignment vertical="center"/>
    </xf>
    <xf numFmtId="0" fontId="16" fillId="0" borderId="19" applyAlignment="1">
      <alignment vertical="center"/>
    </xf>
    <xf numFmtId="0" fontId="16" fillId="0" borderId="0" applyAlignment="1">
      <alignment vertical="center"/>
    </xf>
    <xf numFmtId="0" fontId="17" fillId="11" borderId="20" applyAlignment="1">
      <alignment vertical="center"/>
    </xf>
    <xf numFmtId="0" fontId="18" fillId="12" borderId="21" applyAlignment="1">
      <alignment vertical="center"/>
    </xf>
    <xf numFmtId="0" fontId="19" fillId="12" borderId="20" applyAlignment="1">
      <alignment vertical="center"/>
    </xf>
    <xf numFmtId="0" fontId="20" fillId="13" borderId="22" applyAlignment="1">
      <alignment vertical="center"/>
    </xf>
    <xf numFmtId="0" fontId="21" fillId="0" borderId="23" applyAlignment="1">
      <alignment vertical="center"/>
    </xf>
    <xf numFmtId="0" fontId="22" fillId="0" borderId="24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center" vertical="center" wrapText="1"/>
    </xf>
    <xf numFmtId="0" fontId="7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7" fillId="0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31" pivotButton="0" quotePrefix="0" xfId="0"/>
    <xf numFmtId="0" fontId="7" fillId="6" borderId="13" applyAlignment="1" pivotButton="0" quotePrefix="0" xfId="0">
      <alignment horizontal="center" vertical="center" wrapText="1"/>
    </xf>
    <xf numFmtId="0" fontId="0" fillId="0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workbookViewId="0">
      <selection activeCell="E38" sqref="E38"/>
    </sheetView>
  </sheetViews>
  <sheetFormatPr baseColWidth="8" defaultColWidth="9" defaultRowHeight="15"/>
  <cols>
    <col width="21.952380952381" customWidth="1" min="1" max="1"/>
    <col width="24.0952380952381" customWidth="1" min="2" max="2"/>
    <col width="19.7142857142857" customWidth="1" min="3" max="3"/>
    <col width="12.4571428571429" customWidth="1" min="4" max="4"/>
    <col width="26.9047619047619" customWidth="1" min="5" max="5"/>
    <col width="27" customWidth="1" min="6" max="6"/>
    <col width="22.7142857142857" customWidth="1" min="7" max="7"/>
    <col width="29.7142857142857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10" t="inlineStr">
        <is>
          <t>Project Name :</t>
        </is>
      </c>
      <c r="B4" s="52" t="inlineStr">
        <is>
          <t>Kohinoor West View</t>
        </is>
      </c>
      <c r="C4" s="50" t="n"/>
      <c r="D4" s="51" t="n"/>
      <c r="E4" s="14" t="inlineStr">
        <is>
          <t>Vendor Legal Name :</t>
        </is>
      </c>
      <c r="F4" s="53" t="inlineStr">
        <is>
          <t>Batman</t>
        </is>
      </c>
      <c r="G4" s="50" t="n"/>
      <c r="H4" s="54" t="n"/>
    </row>
    <row r="5" ht="18.5" customHeight="1">
      <c r="A5" s="10" t="inlineStr">
        <is>
          <t>Tower /Location :</t>
        </is>
      </c>
      <c r="B5" s="52" t="inlineStr">
        <is>
          <t>Tower A - Phase 2</t>
        </is>
      </c>
      <c r="C5" s="50" t="n"/>
      <c r="D5" s="51" t="n"/>
      <c r="E5" s="14" t="inlineStr">
        <is>
          <t>Quotation Ref No :</t>
        </is>
      </c>
      <c r="F5" s="53" t="inlineStr">
        <is>
          <t>RFQ-BA926B</t>
        </is>
      </c>
      <c r="G5" s="50" t="n"/>
      <c r="H5" s="54" t="n"/>
    </row>
    <row r="6" ht="18.5" customHeight="1">
      <c r="A6" s="10" t="inlineStr">
        <is>
          <t>Enquiry Date :</t>
        </is>
      </c>
      <c r="B6" s="52" t="inlineStr">
        <is>
          <t>2026-10-12</t>
        </is>
      </c>
      <c r="C6" s="50" t="n"/>
      <c r="D6" s="51" t="n"/>
      <c r="E6" s="14" t="inlineStr">
        <is>
          <t>Quotation Date :</t>
        </is>
      </c>
      <c r="F6" s="53" t="inlineStr">
        <is>
          <t>2026-10-12</t>
        </is>
      </c>
      <c r="G6" s="50" t="n"/>
      <c r="H6" s="54" t="n"/>
    </row>
    <row r="7" ht="35" customHeight="1">
      <c r="A7" s="10" t="inlineStr">
        <is>
          <t>Buyer Org :</t>
        </is>
      </c>
      <c r="B7" s="52" t="inlineStr">
        <is>
          <t>Kohinoor Group</t>
        </is>
      </c>
      <c r="C7" s="50" t="n"/>
      <c r="D7" s="51" t="n"/>
      <c r="E7" s="14" t="inlineStr">
        <is>
          <t>Vendor GSTIN No :</t>
        </is>
      </c>
      <c r="F7" s="53" t="inlineStr">
        <is>
          <t>27AAAAA0000A1Z8</t>
        </is>
      </c>
      <c r="G7" s="50" t="n"/>
      <c r="H7" s="54" t="n"/>
    </row>
    <row r="8" ht="18.5" customHeight="1">
      <c r="A8" s="10" t="inlineStr">
        <is>
          <t>Buyer Contact :</t>
        </is>
      </c>
      <c r="B8" s="52" t="inlineStr">
        <is>
          <t>Purchase Dept</t>
        </is>
      </c>
      <c r="C8" s="50" t="n"/>
      <c r="D8" s="51" t="n"/>
      <c r="E8" s="14" t="inlineStr">
        <is>
          <t>Vendor Contact Person :</t>
        </is>
      </c>
      <c r="F8" s="53" t="inlineStr">
        <is>
          <t>Aakash Thite</t>
        </is>
      </c>
      <c r="G8" s="50" t="n"/>
      <c r="H8" s="54" t="n"/>
    </row>
    <row r="9" ht="18.5" customHeight="1">
      <c r="A9" s="10" t="inlineStr">
        <is>
          <t>Vendor Email Address:</t>
        </is>
      </c>
      <c r="B9" s="52" t="inlineStr">
        <is>
          <t>akashthite108@gmail.com</t>
        </is>
      </c>
      <c r="C9" s="50" t="n"/>
      <c r="D9" s="51" t="n"/>
      <c r="E9" s="14" t="inlineStr">
        <is>
          <t>Vendor Phone / Contact No:</t>
        </is>
      </c>
      <c r="F9" s="53" t="inlineStr">
        <is>
          <t>07019778443</t>
        </is>
      </c>
      <c r="G9" s="50" t="n"/>
      <c r="H9" s="54" t="n"/>
    </row>
    <row r="10" ht="18.5" customHeight="1">
      <c r="A10" s="10" t="inlineStr">
        <is>
          <t>Vendor Adress:</t>
        </is>
      </c>
      <c r="B10" s="55" t="inlineStr">
        <is>
          <t>Keshav nagar</t>
        </is>
      </c>
      <c r="C10" s="50" t="n"/>
      <c r="D10" s="50" t="n"/>
      <c r="E10" s="50" t="n"/>
      <c r="F10" s="50" t="n"/>
      <c r="G10" s="50" t="n"/>
      <c r="H10" s="54" t="n"/>
    </row>
    <row r="11" ht="18.5" customHeight="1">
      <c r="A11" s="7" t="inlineStr">
        <is>
          <t>2. ITEM-BY-ITEM PRICE BID (BILL OF QUANTITIES)</t>
        </is>
      </c>
      <c r="B11" s="50" t="n"/>
      <c r="C11" s="50" t="n"/>
      <c r="D11" s="50" t="n"/>
      <c r="E11" s="50" t="n"/>
      <c r="F11" s="50" t="n"/>
      <c r="G11" s="50" t="n"/>
      <c r="H11" s="51" t="n"/>
    </row>
    <row r="12" ht="35" customHeight="1">
      <c r="A12" s="21" t="inlineStr">
        <is>
          <t>Sr.No</t>
        </is>
      </c>
      <c r="B12" s="22" t="inlineStr">
        <is>
          <t>Technical Scope / Material Description</t>
        </is>
      </c>
      <c r="C12" s="51" t="n"/>
      <c r="D12" s="22" t="inlineStr">
        <is>
          <t>Qty</t>
        </is>
      </c>
      <c r="E12" s="22" t="inlineStr">
        <is>
          <t>Unit</t>
        </is>
      </c>
      <c r="F12" s="22" t="inlineStr">
        <is>
          <t>Make / Brand Offered</t>
        </is>
      </c>
      <c r="G12" s="22" t="inlineStr">
        <is>
          <t>Basic Unit Rate (Rate R0) [₹]</t>
        </is>
      </c>
      <c r="H12" s="23" t="inlineStr">
        <is>
          <t>Total Basic Amount [₹]</t>
        </is>
      </c>
    </row>
    <row r="13" ht="18.5" customHeight="1">
      <c r="A13" s="24" t="n">
        <v>1</v>
      </c>
      <c r="B13" s="25" t="inlineStr">
        <is>
          <t>AAC Blocks (600x200x150mm)</t>
        </is>
      </c>
      <c r="C13" s="51" t="n"/>
      <c r="D13" s="25" t="n">
        <v>500</v>
      </c>
      <c r="E13" s="25" t="inlineStr">
        <is>
          <t>Nos</t>
        </is>
      </c>
      <c r="F13" s="26" t="inlineStr">
        <is>
          <t>SuperBlock</t>
        </is>
      </c>
      <c r="G13" s="26" t="n">
        <v>31</v>
      </c>
      <c r="H13" s="27">
        <f>D13*G13</f>
        <v/>
      </c>
    </row>
    <row r="14" ht="18.5" customHeight="1">
      <c r="A14" s="24" t="n">
        <v>2</v>
      </c>
      <c r="B14" s="25" t="inlineStr">
        <is>
          <t>Polymer Modified Tile Adhesive (25kg bag)</t>
        </is>
      </c>
      <c r="C14" s="51" t="n"/>
      <c r="D14" s="25" t="n">
        <v>200</v>
      </c>
      <c r="E14" s="25" t="inlineStr">
        <is>
          <t>Bags</t>
        </is>
      </c>
      <c r="F14" s="26" t="inlineStr">
        <is>
          <t>Roff</t>
        </is>
      </c>
      <c r="G14" s="26" t="n">
        <v>343</v>
      </c>
      <c r="H14" s="27">
        <f>D14*G14</f>
        <v/>
      </c>
    </row>
    <row r="15" ht="18.5" customHeight="1">
      <c r="A15" s="24" t="n">
        <v>3</v>
      </c>
      <c r="B15" s="25" t="inlineStr">
        <is>
          <t>RMU Transformer 22KV 630A 2+2</t>
        </is>
      </c>
      <c r="C15" s="51" t="n"/>
      <c r="D15" s="25" t="n">
        <v>1</v>
      </c>
      <c r="E15" s="25" t="inlineStr">
        <is>
          <t>Nos</t>
        </is>
      </c>
      <c r="F15" s="26" t="inlineStr">
        <is>
          <t>Saira</t>
        </is>
      </c>
      <c r="G15" s="26" t="n">
        <v>334</v>
      </c>
      <c r="H15" s="27">
        <f>D15*G15</f>
        <v/>
      </c>
    </row>
    <row r="16" ht="18.5" customHeight="1">
      <c r="A16" s="24" t="n">
        <v>4</v>
      </c>
      <c r="B16" s="25" t="inlineStr">
        <is>
          <t>Sofa</t>
        </is>
      </c>
      <c r="C16" s="51" t="n"/>
      <c r="D16" s="25" t="n">
        <v>1</v>
      </c>
      <c r="E16" s="25" t="inlineStr">
        <is>
          <t>Nos</t>
        </is>
      </c>
      <c r="F16" s="26" t="inlineStr">
        <is>
          <t>Ultratech</t>
        </is>
      </c>
      <c r="G16" s="26" t="n">
        <v>33</v>
      </c>
      <c r="H16" s="27">
        <f>D16*G16</f>
        <v/>
      </c>
    </row>
    <row r="17" ht="18.5" customHeight="1">
      <c r="A17" s="24" t="n">
        <v>5</v>
      </c>
      <c r="B17" s="25" t="inlineStr">
        <is>
          <t>Cat</t>
        </is>
      </c>
      <c r="C17" s="51" t="n"/>
      <c r="D17" s="25" t="n">
        <v>1</v>
      </c>
      <c r="E17" s="25" t="inlineStr">
        <is>
          <t>Nos</t>
        </is>
      </c>
      <c r="F17" s="26" t="inlineStr">
        <is>
          <t>C-SEC</t>
        </is>
      </c>
      <c r="G17" s="26" t="n">
        <v>12</v>
      </c>
      <c r="H17" s="27">
        <f>D17*G17</f>
        <v/>
      </c>
    </row>
    <row r="18" ht="18.5" customHeight="1">
      <c r="A18" s="28" t="inlineStr">
        <is>
          <t>TOTAL BASIC BID VALUE (EXCL. TAXES &amp; FREIGHT)</t>
        </is>
      </c>
      <c r="B18" s="50" t="n"/>
      <c r="C18" s="50" t="n"/>
      <c r="D18" s="50" t="n"/>
      <c r="E18" s="50" t="n"/>
      <c r="F18" s="50" t="n"/>
      <c r="G18" s="51" t="n"/>
      <c r="H18" s="30">
        <f>SUM(H13:H17)</f>
        <v/>
      </c>
    </row>
    <row r="19" ht="18.5" customHeight="1">
      <c r="A19" s="7" t="inlineStr">
        <is>
          <t>3. COMMERCIAL TERMS, TAXATION &amp; LOGISTICS SCHEDULE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18.5" customHeight="1">
      <c r="A20" s="31" t="inlineStr">
        <is>
          <t>Sr</t>
        </is>
      </c>
      <c r="B20" s="32" t="inlineStr">
        <is>
          <t>Commercial Parameter</t>
        </is>
      </c>
      <c r="C20" s="50" t="n"/>
      <c r="D20" s="51" t="n"/>
      <c r="E20" s="32" t="inlineStr">
        <is>
          <t>Vendor Declared Terms (Select or Enter Value)</t>
        </is>
      </c>
      <c r="F20" s="50" t="n"/>
      <c r="G20" s="51" t="n"/>
      <c r="H20" s="33" t="inlineStr">
        <is>
          <t>Cost Implication [₹]</t>
        </is>
      </c>
    </row>
    <row r="21" ht="18.5" customHeight="1">
      <c r="A21" s="34" t="n">
        <v>1</v>
      </c>
      <c r="B21" s="35" t="inlineStr">
        <is>
          <t>Basic Value</t>
        </is>
      </c>
      <c r="C21" s="50" t="n"/>
      <c r="D21" s="51" t="n"/>
      <c r="E21" s="26" t="n"/>
      <c r="F21" s="50" t="n"/>
      <c r="G21" s="51" t="n"/>
      <c r="H21" s="27">
        <f>H18</f>
        <v/>
      </c>
    </row>
    <row r="22" ht="18.5" customHeight="1">
      <c r="A22" s="34" t="n">
        <v>2</v>
      </c>
      <c r="B22" s="35" t="inlineStr">
        <is>
          <t>Transport</t>
        </is>
      </c>
      <c r="C22" s="50" t="n"/>
      <c r="D22" s="51" t="n"/>
      <c r="E22" s="26" t="inlineStr">
        <is>
          <t>No</t>
        </is>
      </c>
      <c r="F22" s="50" t="n"/>
      <c r="G22" s="51" t="n"/>
      <c r="H22" s="27">
        <f>H18</f>
        <v/>
      </c>
    </row>
    <row r="23" ht="18.5" customHeight="1">
      <c r="A23" s="34" t="n">
        <v>3</v>
      </c>
      <c r="B23" s="35" t="inlineStr">
        <is>
          <t>GST</t>
        </is>
      </c>
      <c r="C23" s="50" t="n"/>
      <c r="D23" s="51" t="n"/>
      <c r="E23" s="26" t="inlineStr">
        <is>
          <t>18</t>
        </is>
      </c>
      <c r="F23" s="50" t="n"/>
      <c r="G23" s="51" t="n"/>
      <c r="H23" s="27">
        <f>H18</f>
        <v/>
      </c>
    </row>
    <row r="24" ht="18.5" customHeight="1">
      <c r="A24" s="34" t="n">
        <v>4</v>
      </c>
      <c r="B24" s="35" t="inlineStr">
        <is>
          <t>Final Value / Amount</t>
        </is>
      </c>
      <c r="C24" s="50" t="n"/>
      <c r="D24" s="51" t="n"/>
      <c r="E24" s="26" t="n"/>
      <c r="F24" s="50" t="n"/>
      <c r="G24" s="51" t="n"/>
      <c r="H24" s="27">
        <f>H18</f>
        <v/>
      </c>
    </row>
    <row r="25" ht="18.5" customHeight="1">
      <c r="A25" s="34" t="n">
        <v>5</v>
      </c>
      <c r="B25" s="35" t="inlineStr">
        <is>
          <t>Loading</t>
        </is>
      </c>
      <c r="C25" s="50" t="n"/>
      <c r="D25" s="51" t="n"/>
      <c r="E25" s="26" t="inlineStr">
        <is>
          <t>Included</t>
        </is>
      </c>
      <c r="F25" s="50" t="n"/>
      <c r="G25" s="51" t="n"/>
      <c r="H25" s="27" t="inlineStr">
        <is>
          <t>-</t>
        </is>
      </c>
    </row>
    <row r="26" ht="18.5" customHeight="1">
      <c r="A26" s="34" t="n">
        <v>6</v>
      </c>
      <c r="B26" s="35" t="inlineStr">
        <is>
          <t>Unloading</t>
        </is>
      </c>
      <c r="C26" s="50" t="n"/>
      <c r="D26" s="51" t="n"/>
      <c r="E26" s="26" t="inlineStr">
        <is>
          <t>Included</t>
        </is>
      </c>
      <c r="F26" s="50" t="n"/>
      <c r="G26" s="51" t="n"/>
      <c r="H26" s="27" t="inlineStr">
        <is>
          <t>-</t>
        </is>
      </c>
    </row>
    <row r="27" ht="18.5" customHeight="1">
      <c r="A27" s="34" t="n">
        <v>7</v>
      </c>
      <c r="B27" s="35" t="inlineStr">
        <is>
          <t>Insurance</t>
        </is>
      </c>
      <c r="C27" s="50" t="n"/>
      <c r="D27" s="51" t="n"/>
      <c r="E27" s="26" t="inlineStr">
        <is>
          <t>Not Applicable</t>
        </is>
      </c>
      <c r="F27" s="50" t="n"/>
      <c r="G27" s="51" t="n"/>
      <c r="H27" s="27" t="inlineStr">
        <is>
          <t>-</t>
        </is>
      </c>
    </row>
    <row r="28" ht="25" customHeight="1">
      <c r="A28" s="34" t="n">
        <v>8</v>
      </c>
      <c r="B28" s="35" t="inlineStr">
        <is>
          <t>Erection / Commissioning / Installation</t>
        </is>
      </c>
      <c r="C28" s="50" t="n"/>
      <c r="D28" s="51" t="n"/>
      <c r="E28" s="26" t="inlineStr">
        <is>
          <t>Included</t>
        </is>
      </c>
      <c r="F28" s="50" t="n"/>
      <c r="G28" s="51" t="n"/>
      <c r="H28" s="27" t="inlineStr">
        <is>
          <t>-</t>
        </is>
      </c>
    </row>
    <row r="29" ht="18.5" customHeight="1">
      <c r="A29" s="34" t="n">
        <v>9</v>
      </c>
      <c r="B29" s="35" t="inlineStr">
        <is>
          <t>Warranty</t>
        </is>
      </c>
      <c r="C29" s="50" t="n"/>
      <c r="D29" s="51" t="n"/>
      <c r="E29" s="26" t="inlineStr">
        <is>
          <t>1 Year Standard</t>
        </is>
      </c>
      <c r="F29" s="50" t="n"/>
      <c r="G29" s="51" t="n"/>
      <c r="H29" s="27" t="inlineStr">
        <is>
          <t>-</t>
        </is>
      </c>
    </row>
    <row r="30" ht="18.5" customHeight="1">
      <c r="A30" s="34" t="n">
        <v>10</v>
      </c>
      <c r="B30" s="35" t="inlineStr">
        <is>
          <t>Guarantee</t>
        </is>
      </c>
      <c r="C30" s="50" t="n"/>
      <c r="D30" s="51" t="n"/>
      <c r="E30" s="26" t="inlineStr">
        <is>
          <t>1 Year Standard</t>
        </is>
      </c>
      <c r="F30" s="50" t="n"/>
      <c r="G30" s="51" t="n"/>
      <c r="H30" s="27" t="inlineStr">
        <is>
          <t>-</t>
        </is>
      </c>
    </row>
    <row r="31" ht="18.5" customHeight="1">
      <c r="A31" s="34" t="n">
        <v>11</v>
      </c>
      <c r="B31" s="35" t="inlineStr">
        <is>
          <t>Earlier Supplied</t>
        </is>
      </c>
      <c r="C31" s="50" t="n"/>
      <c r="D31" s="51" t="n"/>
      <c r="E31" s="26" t="inlineStr">
        <is>
          <t>Yes</t>
        </is>
      </c>
      <c r="F31" s="50" t="n"/>
      <c r="G31" s="51" t="n"/>
      <c r="H31" s="27" t="inlineStr">
        <is>
          <t>-</t>
        </is>
      </c>
    </row>
    <row r="32" ht="18.5" customHeight="1">
      <c r="A32" s="34" t="n">
        <v>12</v>
      </c>
      <c r="B32" s="35" t="inlineStr">
        <is>
          <t>Delivery Timeline</t>
        </is>
      </c>
      <c r="C32" s="50" t="n"/>
      <c r="D32" s="51" t="n"/>
      <c r="E32" s="26" t="inlineStr">
        <is>
          <t>Within 7 Days</t>
        </is>
      </c>
      <c r="F32" s="50" t="n"/>
      <c r="G32" s="51" t="n"/>
      <c r="H32" s="27" t="inlineStr">
        <is>
          <t>-</t>
        </is>
      </c>
    </row>
    <row r="33" ht="18.5" customHeight="1">
      <c r="A33" s="34" t="n">
        <v>13</v>
      </c>
      <c r="B33" s="35" t="inlineStr">
        <is>
          <t>Payment Terms</t>
        </is>
      </c>
      <c r="C33" s="50" t="n"/>
      <c r="D33" s="51" t="n"/>
      <c r="E33" s="26" t="inlineStr">
        <is>
          <t>30 Days Credit</t>
        </is>
      </c>
      <c r="F33" s="50" t="n"/>
      <c r="G33" s="51" t="n"/>
      <c r="H33" s="27" t="inlineStr">
        <is>
          <t>-</t>
        </is>
      </c>
    </row>
    <row r="34" ht="18.5" customHeight="1">
      <c r="A34" s="37" t="n">
        <v>14</v>
      </c>
      <c r="B34" s="38" t="inlineStr">
        <is>
          <t>Price Validity</t>
        </is>
      </c>
      <c r="C34" s="56" t="n"/>
      <c r="D34" s="57" t="n"/>
      <c r="E34" s="40" t="inlineStr">
        <is>
          <t>60 Days</t>
        </is>
      </c>
      <c r="F34" s="56" t="n"/>
      <c r="G34" s="57" t="n"/>
      <c r="H34" s="41" t="inlineStr">
        <is>
          <t>-</t>
        </is>
      </c>
    </row>
    <row r="35" ht="18.5" customHeight="1">
      <c r="A35" s="37" t="n">
        <v>15</v>
      </c>
      <c r="B35" s="42" t="inlineStr">
        <is>
          <t>Remark</t>
        </is>
      </c>
      <c r="C35" s="56" t="n"/>
      <c r="D35" s="57" t="n"/>
      <c r="E35" s="58" t="inlineStr">
        <is>
          <t>N/A</t>
        </is>
      </c>
      <c r="F35" s="56" t="n"/>
      <c r="G35" s="56" t="n"/>
      <c r="H35" s="59" t="n"/>
    </row>
  </sheetData>
  <mergeCells count="57">
    <mergeCell ref="E28:G28"/>
    <mergeCell ref="B16:C16"/>
    <mergeCell ref="F5:H5"/>
    <mergeCell ref="B23:D23"/>
    <mergeCell ref="B8:D8"/>
    <mergeCell ref="E31:G31"/>
    <mergeCell ref="F8:H8"/>
    <mergeCell ref="E34:G34"/>
    <mergeCell ref="A11:H11"/>
    <mergeCell ref="E30:G30"/>
    <mergeCell ref="A1:H1"/>
    <mergeCell ref="B29:D29"/>
    <mergeCell ref="B34:D34"/>
    <mergeCell ref="B12:C12"/>
    <mergeCell ref="B28:D28"/>
    <mergeCell ref="E27:G27"/>
    <mergeCell ref="B9:D9"/>
    <mergeCell ref="E26:G26"/>
    <mergeCell ref="B14:C14"/>
    <mergeCell ref="B30:D30"/>
    <mergeCell ref="F9:H9"/>
    <mergeCell ref="B17:C17"/>
    <mergeCell ref="B6:D6"/>
    <mergeCell ref="B24:D24"/>
    <mergeCell ref="E25:G25"/>
    <mergeCell ref="B20:D20"/>
    <mergeCell ref="B13:C13"/>
    <mergeCell ref="E32:G32"/>
    <mergeCell ref="B33:D33"/>
    <mergeCell ref="A3:H3"/>
    <mergeCell ref="B5:D5"/>
    <mergeCell ref="E22:G22"/>
    <mergeCell ref="A2:H2"/>
    <mergeCell ref="B32:D32"/>
    <mergeCell ref="B4:D4"/>
    <mergeCell ref="B35:D35"/>
    <mergeCell ref="B26:D26"/>
    <mergeCell ref="E35:H35"/>
    <mergeCell ref="F4:H4"/>
    <mergeCell ref="E21:G21"/>
    <mergeCell ref="B7:D7"/>
    <mergeCell ref="B25:D25"/>
    <mergeCell ref="E24:G24"/>
    <mergeCell ref="F6:H6"/>
    <mergeCell ref="B15:C15"/>
    <mergeCell ref="A18:G18"/>
    <mergeCell ref="B31:D31"/>
    <mergeCell ref="E33:G33"/>
    <mergeCell ref="B22:D22"/>
    <mergeCell ref="E23:G23"/>
    <mergeCell ref="B27:D27"/>
    <mergeCell ref="A19:H19"/>
    <mergeCell ref="B21:D21"/>
    <mergeCell ref="B10:H10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2026-10-17T12:01:55Z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
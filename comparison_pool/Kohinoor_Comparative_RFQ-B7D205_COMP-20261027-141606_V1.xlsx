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69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5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0" borderId="5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5" applyAlignment="1">
      <alignment vertical="center"/>
    </xf>
    <xf numFmtId="0" fontId="12" fillId="0" borderId="55" applyAlignment="1">
      <alignment vertical="center"/>
    </xf>
    <xf numFmtId="0" fontId="13" fillId="0" borderId="56" applyAlignment="1">
      <alignment vertical="center"/>
    </xf>
    <xf numFmtId="0" fontId="13" fillId="0" borderId="0" applyAlignment="1">
      <alignment vertical="center"/>
    </xf>
    <xf numFmtId="0" fontId="14" fillId="11" borderId="57" applyAlignment="1">
      <alignment vertical="center"/>
    </xf>
    <xf numFmtId="0" fontId="15" fillId="12" borderId="58" applyAlignment="1">
      <alignment vertical="center"/>
    </xf>
    <xf numFmtId="0" fontId="16" fillId="12" borderId="57" applyAlignment="1">
      <alignment vertical="center"/>
    </xf>
    <xf numFmtId="0" fontId="17" fillId="13" borderId="59" applyAlignment="1">
      <alignment vertical="center"/>
    </xf>
    <xf numFmtId="0" fontId="18" fillId="0" borderId="60" applyAlignment="1">
      <alignment vertical="center"/>
    </xf>
    <xf numFmtId="0" fontId="19" fillId="0" borderId="61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4" fillId="38" borderId="0" applyAlignment="1">
      <alignment vertical="center"/>
    </xf>
    <xf numFmtId="0" fontId="24" fillId="39" borderId="0" applyAlignment="1">
      <alignment vertical="center"/>
    </xf>
    <xf numFmtId="0" fontId="23" fillId="40" borderId="0" applyAlignment="1">
      <alignment vertical="center"/>
    </xf>
  </cellStyleXfs>
  <cellXfs count="14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27" applyAlignment="1" pivotButton="0" quotePrefix="0" xfId="0">
      <alignment horizontal="center" vertical="center" wrapText="1"/>
    </xf>
    <xf numFmtId="0" fontId="5" fillId="4" borderId="27" applyAlignment="1" pivotButton="0" quotePrefix="0" xfId="0">
      <alignment horizontal="center" vertical="center" wrapText="1"/>
    </xf>
    <xf numFmtId="0" fontId="5" fillId="4" borderId="27" applyAlignment="1" pivotButton="0" quotePrefix="0" xfId="0">
      <alignment horizontal="center" vertical="center" wrapText="1"/>
    </xf>
    <xf numFmtId="0" fontId="5" fillId="4" borderId="28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6" borderId="24" applyAlignment="1" pivotButton="0" quotePrefix="0" xfId="0">
      <alignment horizontal="center" vertical="center" wrapText="1"/>
    </xf>
    <xf numFmtId="0" fontId="5" fillId="6" borderId="2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8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165" fontId="4" fillId="0" borderId="30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165" fontId="4" fillId="0" borderId="33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165" fontId="4" fillId="8" borderId="26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center" vertical="center" wrapText="1"/>
    </xf>
    <xf numFmtId="165" fontId="4" fillId="0" borderId="26" applyAlignment="1" pivotButton="0" quotePrefix="0" xfId="0">
      <alignment horizontal="center" vertical="center" wrapText="1"/>
    </xf>
    <xf numFmtId="165" fontId="4" fillId="8" borderId="24" applyAlignment="1" pivotButton="0" quotePrefix="0" xfId="0">
      <alignment horizontal="center" vertical="center" wrapText="1"/>
    </xf>
    <xf numFmtId="165" fontId="4" fillId="0" borderId="3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39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165" fontId="3" fillId="8" borderId="2" applyAlignment="1" pivotButton="0" quotePrefix="0" xfId="0">
      <alignment horizontal="center" vertical="center" wrapText="1"/>
    </xf>
    <xf numFmtId="165" fontId="3" fillId="8" borderId="26" applyAlignment="1" pivotButton="0" quotePrefix="0" xfId="0">
      <alignment horizontal="center" vertical="center" wrapText="1"/>
    </xf>
    <xf numFmtId="165" fontId="3" fillId="8" borderId="42" applyAlignment="1" pivotButton="0" quotePrefix="0" xfId="0">
      <alignment horizontal="center" vertical="center" wrapText="1"/>
    </xf>
    <xf numFmtId="165" fontId="3" fillId="8" borderId="3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27" applyAlignment="1" pivotButton="0" quotePrefix="0" xfId="0">
      <alignment horizontal="center" vertical="center" wrapText="1"/>
    </xf>
    <xf numFmtId="0" fontId="4" fillId="5" borderId="49" applyAlignment="1" pivotButton="0" quotePrefix="0" xfId="0">
      <alignment horizontal="center" vertical="center" wrapText="1"/>
    </xf>
    <xf numFmtId="0" fontId="4" fillId="5" borderId="50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0" fontId="2" fillId="2" borderId="6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62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72" pivotButton="0" quotePrefix="0" xfId="0"/>
    <xf numFmtId="0" fontId="0" fillId="0" borderId="27" pivotButton="0" quotePrefix="0" xfId="0"/>
    <xf numFmtId="0" fontId="0" fillId="0" borderId="28" pivotButton="0" quotePrefix="0" xfId="0"/>
    <xf numFmtId="165" fontId="4" fillId="0" borderId="8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165" fontId="4" fillId="0" borderId="30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165" fontId="4" fillId="0" borderId="33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0" fontId="4" fillId="7" borderId="62" applyAlignment="1" pivotButton="0" quotePrefix="0" xfId="0">
      <alignment horizontal="center" vertical="center" wrapText="1"/>
    </xf>
    <xf numFmtId="165" fontId="4" fillId="8" borderId="26" applyAlignment="1" pivotButton="0" quotePrefix="0" xfId="0">
      <alignment horizontal="center" vertical="center" wrapText="1"/>
    </xf>
    <xf numFmtId="165" fontId="4" fillId="8" borderId="24" applyAlignment="1" pivotButton="0" quotePrefix="0" xfId="0">
      <alignment horizontal="center" vertical="center" wrapText="1"/>
    </xf>
    <xf numFmtId="0" fontId="4" fillId="0" borderId="66" applyAlignment="1" pivotButton="0" quotePrefix="0" xfId="0">
      <alignment horizontal="center" vertical="center" wrapText="1"/>
    </xf>
    <xf numFmtId="0" fontId="0" fillId="0" borderId="36" pivotButton="0" quotePrefix="0" xfId="0"/>
    <xf numFmtId="0" fontId="4" fillId="0" borderId="68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165" fontId="4" fillId="0" borderId="40" applyAlignment="1" pivotButton="0" quotePrefix="0" xfId="0">
      <alignment horizontal="center" vertical="center" wrapText="1"/>
    </xf>
    <xf numFmtId="0" fontId="0" fillId="0" borderId="40" pivotButton="0" quotePrefix="0" xfId="0"/>
    <xf numFmtId="0" fontId="4" fillId="9" borderId="62" applyAlignment="1" pivotButton="0" quotePrefix="0" xfId="0">
      <alignment horizontal="center" vertical="center" wrapText="1"/>
    </xf>
    <xf numFmtId="165" fontId="3" fillId="8" borderId="26" applyAlignment="1" pivotButton="0" quotePrefix="0" xfId="0">
      <alignment horizontal="center" vertical="center" wrapText="1"/>
    </xf>
    <xf numFmtId="165" fontId="3" fillId="8" borderId="24" applyAlignment="1" pivotButton="0" quotePrefix="0" xfId="0">
      <alignment horizontal="center" vertical="center" wrapText="1"/>
    </xf>
    <xf numFmtId="165" fontId="3" fillId="8" borderId="25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4" fillId="0" borderId="70" applyAlignment="1" pivotButton="0" quotePrefix="0" xfId="0">
      <alignment horizontal="center" vertical="center" wrapText="1"/>
    </xf>
    <xf numFmtId="0" fontId="0" fillId="0" borderId="48" pivotButton="0" quotePrefix="0" xfId="0"/>
    <xf numFmtId="0" fontId="4" fillId="5" borderId="28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tabSelected="1" zoomScale="50" zoomScaleNormal="50" workbookViewId="0">
      <selection activeCell="C8" sqref="C8"/>
    </sheetView>
  </sheetViews>
  <sheetFormatPr baseColWidth="8" defaultColWidth="9" defaultRowHeight="15"/>
  <cols>
    <col width="15.2" customWidth="1" style="1" min="1" max="1"/>
    <col width="32.7142857142857" customWidth="1" style="1" min="2" max="2"/>
    <col width="26.1428571428571" customWidth="1" style="1" min="3" max="3"/>
    <col width="10.1428571428571" customWidth="1" style="1" min="4" max="4"/>
    <col width="12.2857142857143" customWidth="1" style="1" min="5" max="5"/>
    <col width="15.5809523809524" customWidth="1" style="1" min="6" max="12"/>
    <col width="20.152380952381" customWidth="1" style="1" min="13" max="13"/>
    <col width="15.5809523809524" customWidth="1" style="1" min="14" max="20"/>
    <col width="9" customWidth="1" style="1" min="21" max="16384"/>
  </cols>
  <sheetData>
    <row r="1" ht="38.75" customFormat="1" customHeight="1" s="1">
      <c r="A1" s="98" t="inlineStr">
        <is>
          <t>COMPARATIVE STATEMENT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100" t="n"/>
    </row>
    <row r="2" ht="30.5" customFormat="1" customHeight="1" s="1">
      <c r="A2" s="6" t="inlineStr">
        <is>
          <t>Project :</t>
        </is>
      </c>
      <c r="B2" s="101" t="inlineStr">
        <is>
          <t>Kohinoor West View</t>
        </is>
      </c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3" t="n"/>
      <c r="M2" s="11" t="inlineStr">
        <is>
          <t>2026-10-27</t>
        </is>
      </c>
      <c r="N2" s="104" t="n"/>
      <c r="O2" s="102" t="n"/>
      <c r="P2" s="102" t="n"/>
      <c r="Q2" s="102" t="n"/>
      <c r="R2" s="102" t="n"/>
      <c r="S2" s="102" t="n"/>
      <c r="T2" s="103" t="n"/>
    </row>
    <row r="3" ht="30.5" customFormat="1" customHeight="1" s="1">
      <c r="A3" s="14" t="inlineStr">
        <is>
          <t>Tower :</t>
        </is>
      </c>
      <c r="B3" s="105" t="inlineStr">
        <is>
          <t>Tower B - Phase 2</t>
        </is>
      </c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7" t="n"/>
      <c r="M3" s="19" t="inlineStr">
        <is>
          <t>Purchase Dept (Automated)</t>
        </is>
      </c>
      <c r="N3" s="20" t="n"/>
      <c r="O3" s="106" t="n"/>
      <c r="P3" s="106" t="n"/>
      <c r="Q3" s="106" t="n"/>
      <c r="R3" s="106" t="n"/>
      <c r="S3" s="106" t="n"/>
      <c r="T3" s="107" t="n"/>
    </row>
    <row r="4" ht="31.25" customFormat="1" customHeight="1" s="1">
      <c r="A4" s="22" t="inlineStr">
        <is>
          <t>Sr.No</t>
        </is>
      </c>
      <c r="B4" s="108" t="inlineStr">
        <is>
          <t xml:space="preserve"> Material Description</t>
        </is>
      </c>
      <c r="C4" s="108" t="inlineStr">
        <is>
          <t>Make / Brand Offered</t>
        </is>
      </c>
      <c r="D4" s="108" t="inlineStr">
        <is>
          <t>Qty</t>
        </is>
      </c>
      <c r="E4" s="109" t="inlineStr">
        <is>
          <t>Unit</t>
        </is>
      </c>
      <c r="F4" s="26" t="inlineStr">
        <is>
          <t>Deccan Power &amp; Building Materials Corp</t>
        </is>
      </c>
      <c r="G4" s="110" t="n"/>
      <c r="H4" s="111" t="n"/>
      <c r="I4" s="28" t="inlineStr">
        <is>
          <t>Om Sai Infra Solutions</t>
        </is>
      </c>
      <c r="J4" s="110" t="n"/>
      <c r="K4" s="111" t="n"/>
      <c r="L4" s="30" t="inlineStr">
        <is>
          <t>Shreenathji Concrete Products Pvt Ltd</t>
        </is>
      </c>
      <c r="M4" s="99" t="n"/>
      <c r="N4" s="112" t="n"/>
      <c r="O4" s="33" t="inlineStr">
        <is>
          <t>Vendor D</t>
        </is>
      </c>
      <c r="P4" s="99" t="n"/>
      <c r="Q4" s="112" t="n"/>
      <c r="R4" s="33" t="inlineStr">
        <is>
          <t>Vendor E</t>
        </is>
      </c>
      <c r="S4" s="99" t="n"/>
      <c r="T4" s="112" t="n"/>
    </row>
    <row r="5" ht="37" customFormat="1" customHeight="1" s="1">
      <c r="A5" s="113" t="n"/>
      <c r="B5" s="114" t="n"/>
      <c r="C5" s="114" t="n"/>
      <c r="D5" s="114" t="n"/>
      <c r="E5" s="115" t="n"/>
      <c r="F5" s="38" t="inlineStr">
        <is>
          <t>Rate R0</t>
        </is>
      </c>
      <c r="G5" s="39" t="inlineStr">
        <is>
          <t>Rate R1</t>
        </is>
      </c>
      <c r="H5" s="39" t="inlineStr">
        <is>
          <t>Amount</t>
        </is>
      </c>
      <c r="I5" s="39" t="inlineStr">
        <is>
          <t>Rate R0</t>
        </is>
      </c>
      <c r="J5" s="39" t="inlineStr">
        <is>
          <t>Rate R1</t>
        </is>
      </c>
      <c r="K5" s="39" t="inlineStr">
        <is>
          <t>Amount</t>
        </is>
      </c>
      <c r="L5" s="39" t="inlineStr">
        <is>
          <t>Rate R0</t>
        </is>
      </c>
      <c r="M5" s="39" t="inlineStr">
        <is>
          <t>Rate R1</t>
        </is>
      </c>
      <c r="N5" s="40" t="inlineStr">
        <is>
          <t>Amount</t>
        </is>
      </c>
      <c r="O5" s="39" t="inlineStr">
        <is>
          <t>Rate R0</t>
        </is>
      </c>
      <c r="P5" s="39" t="inlineStr">
        <is>
          <t>Rate R1</t>
        </is>
      </c>
      <c r="Q5" s="40" t="inlineStr">
        <is>
          <t>Amount</t>
        </is>
      </c>
      <c r="R5" s="39" t="inlineStr">
        <is>
          <t>Rate R0</t>
        </is>
      </c>
      <c r="S5" s="39" t="inlineStr">
        <is>
          <t>Rate R1</t>
        </is>
      </c>
      <c r="T5" s="40" t="inlineStr">
        <is>
          <t>Amount</t>
        </is>
      </c>
    </row>
    <row r="6" ht="30.5" customFormat="1" customHeight="1" s="1">
      <c r="A6" s="41" t="n">
        <v>1</v>
      </c>
      <c r="B6" s="42" t="inlineStr">
        <is>
          <t>AAC Blocks (600x200x150mm)</t>
        </is>
      </c>
      <c r="C6" s="42" t="inlineStr">
        <is>
          <t>SuperBlock</t>
        </is>
      </c>
      <c r="D6" s="42" t="n">
        <v>600</v>
      </c>
      <c r="E6" s="42" t="inlineStr">
        <is>
          <t>Nos</t>
        </is>
      </c>
      <c r="F6" s="116" t="n">
        <v>240</v>
      </c>
      <c r="G6" s="116" t="n">
        <v>240</v>
      </c>
      <c r="H6" s="116">
        <f>IF(G6&gt;0,D6*G6,IF(F6&gt;0,D6*F6,0))</f>
        <v/>
      </c>
      <c r="I6" s="116" t="n">
        <v>235</v>
      </c>
      <c r="J6" s="116" t="n">
        <v>235</v>
      </c>
      <c r="K6" s="116">
        <f>IF(J6&gt;0,D6*J6,IF(I6&gt;0,D6*I6,0))</f>
        <v/>
      </c>
      <c r="L6" s="116" t="n">
        <v>220</v>
      </c>
      <c r="M6" s="116" t="n">
        <v>220</v>
      </c>
      <c r="N6" s="116">
        <f>IF(M6&gt;0,D6*M6,IF(L6&gt;0,D6*L6,0))</f>
        <v/>
      </c>
      <c r="O6" s="116" t="n"/>
      <c r="P6" s="116" t="n"/>
      <c r="Q6" s="116">
        <f>IF(P6&gt;0,D6*P6,IF(O6&gt;0,D6*O6,0))</f>
        <v/>
      </c>
      <c r="R6" s="116" t="n"/>
      <c r="S6" s="116" t="n"/>
      <c r="T6" s="117">
        <f>IF(S6&gt;0,D6*S6,IF(R6&gt;0,D6*R6,0))</f>
        <v/>
      </c>
    </row>
    <row r="7" ht="30.5" customFormat="1" customHeight="1" s="1">
      <c r="A7" s="45" t="n">
        <v>2</v>
      </c>
      <c r="B7" s="46" t="inlineStr">
        <is>
          <t>Polymer Modified Tile Adhesive (25kg bag)</t>
        </is>
      </c>
      <c r="C7" s="46" t="inlineStr">
        <is>
          <t>Roff</t>
        </is>
      </c>
      <c r="D7" s="46" t="n">
        <v>500</v>
      </c>
      <c r="E7" s="46" t="inlineStr">
        <is>
          <t>Bags</t>
        </is>
      </c>
      <c r="F7" s="118" t="n">
        <v>345</v>
      </c>
      <c r="G7" s="118" t="n">
        <v>345</v>
      </c>
      <c r="H7" s="118">
        <f>IF(G7&gt;0,D7*G7,IF(F7&gt;0,D7*F7,0))</f>
        <v/>
      </c>
      <c r="I7" s="118" t="n">
        <v>320</v>
      </c>
      <c r="J7" s="118" t="n">
        <v>320</v>
      </c>
      <c r="K7" s="118">
        <f>IF(J7&gt;0,D7*J7,IF(I7&gt;0,D7*I7,0))</f>
        <v/>
      </c>
      <c r="L7" s="118" t="n">
        <v>330</v>
      </c>
      <c r="M7" s="118" t="n">
        <v>330</v>
      </c>
      <c r="N7" s="118">
        <f>IF(M7&gt;0,D7*M7,IF(L7&gt;0,D7*L7,0))</f>
        <v/>
      </c>
      <c r="O7" s="118" t="n"/>
      <c r="P7" s="118" t="n"/>
      <c r="Q7" s="118">
        <f>IF(P7&gt;0,D7*P7,IF(O7&gt;0,D7*O7,0))</f>
        <v/>
      </c>
      <c r="R7" s="118" t="n"/>
      <c r="S7" s="118" t="n"/>
      <c r="T7" s="119">
        <f>IF(S7&gt;0,D7*S7,IF(R7&gt;0,D7*R7,0))</f>
        <v/>
      </c>
    </row>
    <row r="8" ht="30.5" customFormat="1" customHeight="1" s="1">
      <c r="A8" s="49" t="n">
        <v>3</v>
      </c>
      <c r="B8" s="50" t="inlineStr">
        <is>
          <t>RMU Transformer 22KV 630A 2+2</t>
        </is>
      </c>
      <c r="C8" s="50" t="inlineStr">
        <is>
          <t>ABB / Schneider</t>
        </is>
      </c>
      <c r="D8" s="50" t="n">
        <v>1</v>
      </c>
      <c r="E8" s="50" t="inlineStr">
        <is>
          <t>Nos</t>
        </is>
      </c>
      <c r="F8" s="118" t="n">
        <v>565000</v>
      </c>
      <c r="G8" s="118" t="n">
        <v>565000</v>
      </c>
      <c r="H8" s="118">
        <f>IF(G8&gt;0,D8*G8,IF(F8&gt;0,D8*F8,0))</f>
        <v/>
      </c>
      <c r="I8" s="118" t="n">
        <v>540000</v>
      </c>
      <c r="J8" s="118" t="n">
        <v>540000</v>
      </c>
      <c r="K8" s="118">
        <f>IF(J8&gt;0,D8*J8,IF(I8&gt;0,D8*I8,0))</f>
        <v/>
      </c>
      <c r="L8" s="118" t="n">
        <v>550000</v>
      </c>
      <c r="M8" s="118" t="n">
        <v>550000</v>
      </c>
      <c r="N8" s="118">
        <f>IF(M8&gt;0,D8*M8,IF(L8&gt;0,D8*L8,0))</f>
        <v/>
      </c>
      <c r="O8" s="118" t="n"/>
      <c r="P8" s="118" t="n"/>
      <c r="Q8" s="118">
        <f>IF(P8&gt;0,D8*P8,IF(O8&gt;0,D8*O8,0))</f>
        <v/>
      </c>
      <c r="R8" s="118" t="n"/>
      <c r="S8" s="118" t="n"/>
      <c r="T8" s="119">
        <f>IF(S8&gt;0,D8*S8,IF(R8&gt;0,D8*R8,0))</f>
        <v/>
      </c>
    </row>
    <row r="9" ht="30.5" customFormat="1" customHeight="1" s="1">
      <c r="A9" s="49" t="n">
        <v>4</v>
      </c>
      <c r="B9" s="50" t="n"/>
      <c r="C9" s="50" t="n"/>
      <c r="D9" s="50" t="n"/>
      <c r="E9" s="50" t="n"/>
      <c r="F9" s="118" t="n"/>
      <c r="G9" s="118" t="n"/>
      <c r="H9" s="118">
        <f>IF(G9&gt;0,D9*G9,IF(F9&gt;0,D9*F9,0))</f>
        <v/>
      </c>
      <c r="I9" s="118" t="n"/>
      <c r="J9" s="118" t="n"/>
      <c r="K9" s="118">
        <f>IF(J9&gt;0,D9*J9,IF(I9&gt;0,D9*I9,0))</f>
        <v/>
      </c>
      <c r="L9" s="118" t="n"/>
      <c r="M9" s="118" t="n"/>
      <c r="N9" s="118">
        <f>IF(M9&gt;0,D9*M9,IF(L9&gt;0,D9*L9,0))</f>
        <v/>
      </c>
      <c r="O9" s="118" t="n"/>
      <c r="P9" s="118" t="n"/>
      <c r="Q9" s="118">
        <f>IF(P9&gt;0,D9*P9,IF(O9&gt;0,D9*O9,0))</f>
        <v/>
      </c>
      <c r="R9" s="118" t="n"/>
      <c r="S9" s="118" t="n"/>
      <c r="T9" s="119">
        <f>IF(S9&gt;0,D9*S9,IF(R9&gt;0,D9*R9,0))</f>
        <v/>
      </c>
    </row>
    <row r="10" ht="30.5" customFormat="1" customHeight="1" s="1">
      <c r="A10" s="49" t="n">
        <v>5</v>
      </c>
      <c r="B10" s="50" t="n"/>
      <c r="C10" s="50" t="n"/>
      <c r="D10" s="50" t="n"/>
      <c r="E10" s="50" t="n"/>
      <c r="F10" s="120" t="n"/>
      <c r="G10" s="120" t="n"/>
      <c r="H10" s="120">
        <f>IF(G10&gt;0,D10*G10,IF(F10&gt;0,D10*F10,0))</f>
        <v/>
      </c>
      <c r="I10" s="120" t="n"/>
      <c r="J10" s="120" t="n"/>
      <c r="K10" s="120">
        <f>IF(J10&gt;0,D10*J10,IF(I10&gt;0,D10*I10,0))</f>
        <v/>
      </c>
      <c r="L10" s="120" t="n"/>
      <c r="M10" s="120" t="n"/>
      <c r="N10" s="120">
        <f>IF(M10&gt;0,D10*M10,IF(L10&gt;0,D10*L10,0))</f>
        <v/>
      </c>
      <c r="O10" s="120" t="n"/>
      <c r="P10" s="120" t="n"/>
      <c r="Q10" s="120">
        <f>IF(P10&gt;0,D10*P10,IF(O10&gt;0,D10*O10,0))</f>
        <v/>
      </c>
      <c r="R10" s="120" t="n"/>
      <c r="S10" s="120" t="n"/>
      <c r="T10" s="121">
        <f>IF(S10&gt;0,D10*S10,IF(R10&gt;0,D10*R10,0))</f>
        <v/>
      </c>
    </row>
    <row r="11" ht="30.5" customFormat="1" customHeight="1" s="1">
      <c r="A11" s="122" t="inlineStr">
        <is>
          <t>Basic Value</t>
        </is>
      </c>
      <c r="B11" s="99" t="n"/>
      <c r="C11" s="99" t="n"/>
      <c r="D11" s="99" t="n"/>
      <c r="E11" s="100" t="n"/>
      <c r="F11" s="123">
        <f>SUM(H6:H10)</f>
        <v/>
      </c>
      <c r="G11" s="99" t="n"/>
      <c r="H11" s="112" t="n"/>
      <c r="I11" s="124">
        <f>SUM(K6:K10)</f>
        <v/>
      </c>
      <c r="J11" s="99" t="n"/>
      <c r="K11" s="112" t="n"/>
      <c r="L11" s="124">
        <f>SUM(N6:N10)</f>
        <v/>
      </c>
      <c r="M11" s="99" t="n"/>
      <c r="N11" s="112" t="n"/>
      <c r="O11" s="124">
        <f>SUM(Q6:Q10)</f>
        <v/>
      </c>
      <c r="P11" s="99" t="n"/>
      <c r="Q11" s="112" t="n"/>
      <c r="R11" s="124">
        <f>SUM(T6:T10)</f>
        <v/>
      </c>
      <c r="S11" s="99" t="n"/>
      <c r="T11" s="112" t="n"/>
    </row>
    <row r="12" ht="30.5" customFormat="1" customHeight="1" s="1">
      <c r="A12" s="125" t="inlineStr">
        <is>
          <t>Transport</t>
        </is>
      </c>
      <c r="B12" s="102" t="n"/>
      <c r="C12" s="102" t="n"/>
      <c r="D12" s="102" t="n"/>
      <c r="E12" s="126" t="n"/>
      <c r="F12" s="64" t="inlineStr">
        <is>
          <t>No</t>
        </is>
      </c>
      <c r="G12" s="102" t="n"/>
      <c r="H12" s="103" t="n"/>
      <c r="I12" s="42" t="inlineStr">
        <is>
          <t>No</t>
        </is>
      </c>
      <c r="J12" s="102" t="n"/>
      <c r="K12" s="103" t="n"/>
      <c r="L12" s="85" t="inlineStr">
        <is>
          <t>No</t>
        </is>
      </c>
      <c r="M12" s="102" t="n"/>
      <c r="N12" s="126" t="n"/>
      <c r="O12" s="85" t="n"/>
      <c r="P12" s="102" t="n"/>
      <c r="Q12" s="126" t="n"/>
      <c r="R12" s="85" t="n"/>
      <c r="S12" s="102" t="n"/>
      <c r="T12" s="126" t="n"/>
    </row>
    <row r="13" ht="30.5" customFormat="1" customHeight="1" s="1">
      <c r="A13" s="127" t="inlineStr">
        <is>
          <t>GST</t>
        </is>
      </c>
      <c r="B13" s="128" t="n"/>
      <c r="C13" s="128" t="n"/>
      <c r="D13" s="128" t="n"/>
      <c r="E13" s="129" t="n"/>
      <c r="F13" s="130" t="inlineStr">
        <is>
          <t>18</t>
        </is>
      </c>
      <c r="G13" s="128" t="n"/>
      <c r="H13" s="131" t="n"/>
      <c r="I13" s="120" t="inlineStr">
        <is>
          <t>18</t>
        </is>
      </c>
      <c r="J13" s="128" t="n"/>
      <c r="K13" s="131" t="n"/>
      <c r="L13" s="121" t="inlineStr">
        <is>
          <t>18</t>
        </is>
      </c>
      <c r="M13" s="128" t="n"/>
      <c r="N13" s="129" t="n"/>
      <c r="O13" s="121" t="n"/>
      <c r="P13" s="128" t="n"/>
      <c r="Q13" s="129" t="n"/>
      <c r="R13" s="121" t="n"/>
      <c r="S13" s="128" t="n"/>
      <c r="T13" s="129" t="n"/>
    </row>
    <row r="14" ht="30.5" customFormat="1" customHeight="1" s="1">
      <c r="A14" s="132" t="inlineStr">
        <is>
          <t>Final Value / Amount</t>
        </is>
      </c>
      <c r="B14" s="99" t="n"/>
      <c r="C14" s="99" t="n"/>
      <c r="D14" s="99" t="n"/>
      <c r="E14" s="100" t="n"/>
      <c r="F14" s="133">
        <f>SUM(F11:H13)</f>
        <v/>
      </c>
      <c r="G14" s="99" t="n"/>
      <c r="H14" s="112" t="n"/>
      <c r="I14" s="134">
        <f>SUM(I11:K13)</f>
        <v/>
      </c>
      <c r="J14" s="99" t="n"/>
      <c r="K14" s="112" t="n"/>
      <c r="L14" s="135">
        <f>SUM(L11:N13)</f>
        <v/>
      </c>
      <c r="M14" s="99" t="n"/>
      <c r="N14" s="100" t="n"/>
      <c r="O14" s="135">
        <f>SUM(O11:Q13)</f>
        <v/>
      </c>
      <c r="P14" s="99" t="n"/>
      <c r="Q14" s="100" t="n"/>
      <c r="R14" s="135">
        <f>SUM(R11:T13)</f>
        <v/>
      </c>
      <c r="S14" s="99" t="n"/>
      <c r="T14" s="100" t="n"/>
    </row>
    <row r="15" ht="30.5" customFormat="1" customHeight="1" s="1">
      <c r="A15" s="136" t="inlineStr">
        <is>
          <t>Earlier Supplied</t>
        </is>
      </c>
      <c r="B15" s="137" t="n"/>
      <c r="C15" s="137" t="n"/>
      <c r="D15" s="137" t="n"/>
      <c r="E15" s="138" t="n"/>
      <c r="F15" s="83" t="inlineStr">
        <is>
          <t>Yes</t>
        </is>
      </c>
      <c r="G15" s="137" t="n"/>
      <c r="H15" s="139" t="n"/>
      <c r="I15" s="46" t="inlineStr">
        <is>
          <t>Yes</t>
        </is>
      </c>
      <c r="J15" s="137" t="n"/>
      <c r="K15" s="139" t="n"/>
      <c r="L15" s="46" t="inlineStr">
        <is>
          <t>Yes</t>
        </is>
      </c>
      <c r="M15" s="137" t="n"/>
      <c r="N15" s="139" t="n"/>
      <c r="O15" s="46" t="n"/>
      <c r="P15" s="137" t="n"/>
      <c r="Q15" s="139" t="n"/>
      <c r="R15" s="46" t="n"/>
      <c r="S15" s="137" t="n"/>
      <c r="T15" s="139" t="n"/>
    </row>
    <row r="16" ht="30.5" customFormat="1" customHeight="1" s="1">
      <c r="A16" s="45" t="inlineStr">
        <is>
          <t>Loading</t>
        </is>
      </c>
      <c r="B16" s="137" t="n"/>
      <c r="C16" s="137" t="n"/>
      <c r="D16" s="137" t="n"/>
      <c r="E16" s="139" t="n"/>
      <c r="F16" s="64" t="inlineStr">
        <is>
          <t>Included</t>
        </is>
      </c>
      <c r="G16" s="102" t="n"/>
      <c r="H16" s="103" t="n"/>
      <c r="I16" s="64" t="inlineStr">
        <is>
          <t>Included</t>
        </is>
      </c>
      <c r="J16" s="102" t="n"/>
      <c r="K16" s="103" t="n"/>
      <c r="L16" s="64" t="inlineStr">
        <is>
          <t>Included</t>
        </is>
      </c>
      <c r="M16" s="102" t="n"/>
      <c r="N16" s="103" t="n"/>
      <c r="O16" s="64" t="n"/>
      <c r="P16" s="102" t="n"/>
      <c r="Q16" s="103" t="n"/>
      <c r="R16" s="64" t="n"/>
      <c r="S16" s="102" t="n"/>
      <c r="T16" s="103" t="n"/>
    </row>
    <row r="17" ht="30.5" customFormat="1" customHeight="1" s="1">
      <c r="A17" s="45" t="inlineStr">
        <is>
          <t>Insurance</t>
        </is>
      </c>
      <c r="B17" s="137" t="n"/>
      <c r="C17" s="137" t="n"/>
      <c r="D17" s="137" t="n"/>
      <c r="E17" s="139" t="n"/>
      <c r="F17" s="64" t="inlineStr">
        <is>
          <t>Not Applicable</t>
        </is>
      </c>
      <c r="G17" s="102" t="n"/>
      <c r="H17" s="103" t="n"/>
      <c r="I17" s="64" t="inlineStr">
        <is>
          <t>Not Applicable</t>
        </is>
      </c>
      <c r="J17" s="102" t="n"/>
      <c r="K17" s="103" t="n"/>
      <c r="L17" s="64" t="inlineStr">
        <is>
          <t>Included</t>
        </is>
      </c>
      <c r="M17" s="102" t="n"/>
      <c r="N17" s="103" t="n"/>
      <c r="O17" s="64" t="n"/>
      <c r="P17" s="102" t="n"/>
      <c r="Q17" s="103" t="n"/>
      <c r="R17" s="64" t="n"/>
      <c r="S17" s="102" t="n"/>
      <c r="T17" s="103" t="n"/>
    </row>
    <row r="18" ht="30.5" customFormat="1" customHeight="1" s="1">
      <c r="A18" s="125" t="inlineStr">
        <is>
          <t>Unloading</t>
        </is>
      </c>
      <c r="B18" s="102" t="n"/>
      <c r="C18" s="102" t="n"/>
      <c r="D18" s="102" t="n"/>
      <c r="E18" s="126" t="n"/>
      <c r="F18" s="64" t="inlineStr">
        <is>
          <t>Included</t>
        </is>
      </c>
      <c r="G18" s="102" t="n"/>
      <c r="H18" s="103" t="n"/>
      <c r="I18" s="64" t="inlineStr">
        <is>
          <t>Included</t>
        </is>
      </c>
      <c r="J18" s="102" t="n"/>
      <c r="K18" s="103" t="n"/>
      <c r="L18" s="46" t="inlineStr">
        <is>
          <t>Included</t>
        </is>
      </c>
      <c r="M18" s="137" t="n"/>
      <c r="N18" s="139" t="n"/>
      <c r="O18" s="46" t="n"/>
      <c r="P18" s="137" t="n"/>
      <c r="Q18" s="139" t="n"/>
      <c r="R18" s="46" t="n"/>
      <c r="S18" s="137" t="n"/>
      <c r="T18" s="139" t="n"/>
    </row>
    <row r="19" ht="30.5" customFormat="1" customHeight="1" s="1">
      <c r="A19" s="136" t="inlineStr">
        <is>
          <t>Erection / Commissioning / Installation</t>
        </is>
      </c>
      <c r="B19" s="137" t="n"/>
      <c r="C19" s="137" t="n"/>
      <c r="D19" s="137" t="n"/>
      <c r="E19" s="138" t="n"/>
      <c r="F19" s="83" t="inlineStr">
        <is>
          <t>Included</t>
        </is>
      </c>
      <c r="G19" s="137" t="n"/>
      <c r="H19" s="139" t="n"/>
      <c r="I19" s="46" t="inlineStr">
        <is>
          <t>Included</t>
        </is>
      </c>
      <c r="J19" s="137" t="n"/>
      <c r="K19" s="139" t="n"/>
      <c r="L19" s="46" t="inlineStr">
        <is>
          <t>Included</t>
        </is>
      </c>
      <c r="M19" s="137" t="n"/>
      <c r="N19" s="139" t="n"/>
      <c r="O19" s="46" t="n"/>
      <c r="P19" s="137" t="n"/>
      <c r="Q19" s="139" t="n"/>
      <c r="R19" s="46" t="n"/>
      <c r="S19" s="137" t="n"/>
      <c r="T19" s="139" t="n"/>
    </row>
    <row r="20" ht="30.5" customFormat="1" customHeight="1" s="1">
      <c r="A20" s="136" t="inlineStr">
        <is>
          <t>Warranty</t>
        </is>
      </c>
      <c r="B20" s="137" t="n"/>
      <c r="C20" s="137" t="n"/>
      <c r="D20" s="137" t="n"/>
      <c r="E20" s="138" t="n"/>
      <c r="F20" s="83" t="inlineStr">
        <is>
          <t>3 Year Standard</t>
        </is>
      </c>
      <c r="G20" s="137" t="n"/>
      <c r="H20" s="139" t="n"/>
      <c r="I20" s="46" t="inlineStr">
        <is>
          <t>2 Year Standard</t>
        </is>
      </c>
      <c r="J20" s="137" t="n"/>
      <c r="K20" s="139" t="n"/>
      <c r="L20" s="46" t="inlineStr">
        <is>
          <t>3 Year Standard</t>
        </is>
      </c>
      <c r="M20" s="137" t="n"/>
      <c r="N20" s="139" t="n"/>
      <c r="O20" s="46" t="n"/>
      <c r="P20" s="137" t="n"/>
      <c r="Q20" s="139" t="n"/>
      <c r="R20" s="46" t="n"/>
      <c r="S20" s="137" t="n"/>
      <c r="T20" s="139" t="n"/>
    </row>
    <row r="21" ht="30.5" customFormat="1" customHeight="1" s="1">
      <c r="A21" s="136" t="inlineStr">
        <is>
          <t>Guarantee</t>
        </is>
      </c>
      <c r="B21" s="137" t="n"/>
      <c r="C21" s="137" t="n"/>
      <c r="D21" s="137" t="n"/>
      <c r="E21" s="138" t="n"/>
      <c r="F21" s="83" t="inlineStr">
        <is>
          <t>1 Year Standard</t>
        </is>
      </c>
      <c r="G21" s="137" t="n"/>
      <c r="H21" s="139" t="n"/>
      <c r="I21" s="46" t="inlineStr">
        <is>
          <t>2 Year Standard</t>
        </is>
      </c>
      <c r="J21" s="137" t="n"/>
      <c r="K21" s="139" t="n"/>
      <c r="L21" s="46" t="inlineStr">
        <is>
          <t>3 Year Standard</t>
        </is>
      </c>
      <c r="M21" s="137" t="n"/>
      <c r="N21" s="139" t="n"/>
      <c r="O21" s="46" t="n"/>
      <c r="P21" s="137" t="n"/>
      <c r="Q21" s="139" t="n"/>
      <c r="R21" s="46" t="n"/>
      <c r="S21" s="137" t="n"/>
      <c r="T21" s="139" t="n"/>
    </row>
    <row r="22" ht="30.5" customFormat="1" customHeight="1" s="1">
      <c r="A22" s="136" t="inlineStr">
        <is>
          <t>Earlier Supplied</t>
        </is>
      </c>
      <c r="B22" s="137" t="n"/>
      <c r="C22" s="137" t="n"/>
      <c r="D22" s="137" t="n"/>
      <c r="E22" s="138" t="n"/>
      <c r="F22" s="83" t="n"/>
      <c r="G22" s="137" t="n"/>
      <c r="H22" s="139" t="n"/>
      <c r="I22" s="46" t="n"/>
      <c r="J22" s="137" t="n"/>
      <c r="K22" s="139" t="n"/>
      <c r="L22" s="46" t="n"/>
      <c r="M22" s="137" t="n"/>
      <c r="N22" s="139" t="n"/>
      <c r="O22" s="46" t="n"/>
      <c r="P22" s="137" t="n"/>
      <c r="Q22" s="139" t="n"/>
      <c r="R22" s="46" t="n"/>
      <c r="S22" s="137" t="n"/>
      <c r="T22" s="139" t="n"/>
    </row>
    <row r="23" ht="30.5" customFormat="1" customHeight="1" s="2">
      <c r="A23" s="136" t="inlineStr">
        <is>
          <t>Delivery Timeline</t>
        </is>
      </c>
      <c r="B23" s="137" t="n"/>
      <c r="C23" s="137" t="n"/>
      <c r="D23" s="137" t="n"/>
      <c r="E23" s="138" t="n"/>
      <c r="F23" s="83" t="inlineStr">
        <is>
          <t>Within 7 Days</t>
        </is>
      </c>
      <c r="G23" s="137" t="n"/>
      <c r="H23" s="139" t="n"/>
      <c r="I23" s="46" t="inlineStr">
        <is>
          <t>Within 7 Days</t>
        </is>
      </c>
      <c r="J23" s="137" t="n"/>
      <c r="K23" s="139" t="n"/>
      <c r="L23" s="46" t="inlineStr">
        <is>
          <t>Within 7 Days</t>
        </is>
      </c>
      <c r="M23" s="137" t="n"/>
      <c r="N23" s="139" t="n"/>
      <c r="O23" s="46" t="n"/>
      <c r="P23" s="137" t="n"/>
      <c r="Q23" s="139" t="n"/>
      <c r="R23" s="46" t="n"/>
      <c r="S23" s="137" t="n"/>
      <c r="T23" s="139" t="n"/>
    </row>
    <row r="24" ht="30.5" customFormat="1" customHeight="1" s="2">
      <c r="A24" s="140" t="inlineStr">
        <is>
          <t>Payment Terms</t>
        </is>
      </c>
      <c r="B24" s="106" t="n"/>
      <c r="C24" s="106" t="n"/>
      <c r="D24" s="106" t="n"/>
      <c r="E24" s="141" t="n"/>
      <c r="F24" s="89" t="inlineStr">
        <is>
          <t>30 Days Credit</t>
        </is>
      </c>
      <c r="G24" s="106" t="n"/>
      <c r="H24" s="107" t="n"/>
      <c r="I24" s="90" t="inlineStr">
        <is>
          <t>30 Days Credit</t>
        </is>
      </c>
      <c r="J24" s="106" t="n"/>
      <c r="K24" s="107" t="n"/>
      <c r="L24" s="90" t="inlineStr">
        <is>
          <t>30 Days Credit</t>
        </is>
      </c>
      <c r="M24" s="106" t="n"/>
      <c r="N24" s="107" t="n"/>
      <c r="O24" s="90" t="n"/>
      <c r="P24" s="106" t="n"/>
      <c r="Q24" s="107" t="n"/>
      <c r="R24" s="90" t="n"/>
      <c r="S24" s="106" t="n"/>
      <c r="T24" s="107" t="n"/>
    </row>
    <row r="25" ht="30.5" customFormat="1" customHeight="1" s="2">
      <c r="A25" s="140" t="inlineStr">
        <is>
          <t xml:space="preserve">Price Validity </t>
        </is>
      </c>
      <c r="B25" s="106" t="n"/>
      <c r="C25" s="106" t="n"/>
      <c r="D25" s="106" t="n"/>
      <c r="E25" s="141" t="n"/>
      <c r="F25" s="89" t="inlineStr">
        <is>
          <t>60 Days</t>
        </is>
      </c>
      <c r="G25" s="106" t="n"/>
      <c r="H25" s="107" t="n"/>
      <c r="I25" s="90" t="inlineStr">
        <is>
          <t>60 Days</t>
        </is>
      </c>
      <c r="J25" s="106" t="n"/>
      <c r="K25" s="107" t="n"/>
      <c r="L25" s="90" t="inlineStr">
        <is>
          <t>60 Days</t>
        </is>
      </c>
      <c r="M25" s="106" t="n"/>
      <c r="N25" s="107" t="n"/>
      <c r="O25" s="90" t="n"/>
      <c r="P25" s="106" t="n"/>
      <c r="Q25" s="107" t="n"/>
      <c r="R25" s="90" t="n"/>
      <c r="S25" s="106" t="n"/>
      <c r="T25" s="107" t="n"/>
    </row>
    <row r="26" ht="30.5" customFormat="1" customHeight="1" s="2">
      <c r="A26" s="142" t="inlineStr">
        <is>
          <t>Remark</t>
        </is>
      </c>
      <c r="B26" s="143" t="n"/>
      <c r="C26" s="143" t="n"/>
      <c r="D26" s="143" t="n"/>
      <c r="E26" s="144" t="n"/>
      <c r="F26" s="95" t="inlineStr">
        <is>
          <t>N/A</t>
        </is>
      </c>
      <c r="G26" s="143" t="n"/>
      <c r="H26" s="145" t="n"/>
      <c r="I26" s="96" t="inlineStr">
        <is>
          <t>N/A</t>
        </is>
      </c>
      <c r="J26" s="143" t="n"/>
      <c r="K26" s="145" t="n"/>
      <c r="L26" s="96" t="inlineStr">
        <is>
          <t>Best package pricing offered for Phase 2 bulk supply.</t>
        </is>
      </c>
      <c r="M26" s="143" t="n"/>
      <c r="N26" s="145" t="n"/>
      <c r="O26" s="96" t="n"/>
      <c r="P26" s="143" t="n"/>
      <c r="Q26" s="145" t="n"/>
      <c r="R26" s="96" t="n"/>
      <c r="S26" s="143" t="n"/>
      <c r="T26" s="145" t="n"/>
    </row>
  </sheetData>
  <mergeCells count="111">
    <mergeCell ref="F18:H18"/>
    <mergeCell ref="O4:Q4"/>
    <mergeCell ref="A11:E11"/>
    <mergeCell ref="O22:Q22"/>
    <mergeCell ref="F17:H17"/>
    <mergeCell ref="R20:T20"/>
    <mergeCell ref="O21:Q21"/>
    <mergeCell ref="I24:K24"/>
    <mergeCell ref="L25:N25"/>
    <mergeCell ref="F22:H22"/>
    <mergeCell ref="R22:T22"/>
    <mergeCell ref="I17:K17"/>
    <mergeCell ref="A21:E21"/>
    <mergeCell ref="L11:N11"/>
    <mergeCell ref="A26:E26"/>
    <mergeCell ref="F14:H14"/>
    <mergeCell ref="R14:T14"/>
    <mergeCell ref="A23:E23"/>
    <mergeCell ref="R23:T23"/>
    <mergeCell ref="N2:T2"/>
    <mergeCell ref="O19:Q19"/>
    <mergeCell ref="R4:T4"/>
    <mergeCell ref="L13:N13"/>
    <mergeCell ref="F12:H12"/>
    <mergeCell ref="F21:H21"/>
    <mergeCell ref="R24:T24"/>
    <mergeCell ref="L15:N15"/>
    <mergeCell ref="L24:N24"/>
    <mergeCell ref="I22:K22"/>
    <mergeCell ref="L18:N18"/>
    <mergeCell ref="C4:C5"/>
    <mergeCell ref="E4:E5"/>
    <mergeCell ref="B3:L3"/>
    <mergeCell ref="R26:T26"/>
    <mergeCell ref="I12:K12"/>
    <mergeCell ref="I21:K21"/>
    <mergeCell ref="L26:N26"/>
    <mergeCell ref="I14:K14"/>
    <mergeCell ref="I23:K23"/>
    <mergeCell ref="O12:Q12"/>
    <mergeCell ref="R17:T17"/>
    <mergeCell ref="I4:K4"/>
    <mergeCell ref="A12:E12"/>
    <mergeCell ref="O14:Q14"/>
    <mergeCell ref="O23:Q23"/>
    <mergeCell ref="O13:Q13"/>
    <mergeCell ref="A14:E14"/>
    <mergeCell ref="F11:H11"/>
    <mergeCell ref="F25:H25"/>
    <mergeCell ref="O15:Q15"/>
    <mergeCell ref="R11:T11"/>
    <mergeCell ref="O24:Q24"/>
    <mergeCell ref="O18:Q18"/>
    <mergeCell ref="R13:T13"/>
    <mergeCell ref="L12:N12"/>
    <mergeCell ref="F15:H15"/>
    <mergeCell ref="I25:K25"/>
    <mergeCell ref="F24:H24"/>
    <mergeCell ref="R15:T15"/>
    <mergeCell ref="A24:E24"/>
    <mergeCell ref="L14:N14"/>
    <mergeCell ref="L23:N23"/>
    <mergeCell ref="R12:T12"/>
    <mergeCell ref="F26:H26"/>
    <mergeCell ref="R21:T21"/>
    <mergeCell ref="L4:N4"/>
    <mergeCell ref="O25:Q25"/>
    <mergeCell ref="A1:T1"/>
    <mergeCell ref="F23:H23"/>
    <mergeCell ref="A16:E16"/>
    <mergeCell ref="F13:H13"/>
    <mergeCell ref="A25:E25"/>
    <mergeCell ref="B2:L2"/>
    <mergeCell ref="O17:Q17"/>
    <mergeCell ref="I20:K20"/>
    <mergeCell ref="A18:E18"/>
    <mergeCell ref="I13:K13"/>
    <mergeCell ref="A4:A5"/>
    <mergeCell ref="L17:N17"/>
    <mergeCell ref="A22:E22"/>
    <mergeCell ref="I15:K15"/>
    <mergeCell ref="F16:H16"/>
    <mergeCell ref="A20:E20"/>
    <mergeCell ref="B4:B5"/>
    <mergeCell ref="R19:T19"/>
    <mergeCell ref="L19:N19"/>
    <mergeCell ref="I26:K26"/>
    <mergeCell ref="A13:E13"/>
    <mergeCell ref="R25:T25"/>
    <mergeCell ref="F20:H20"/>
    <mergeCell ref="I16:K16"/>
    <mergeCell ref="A15:E15"/>
    <mergeCell ref="O26:Q26"/>
    <mergeCell ref="I18:K18"/>
    <mergeCell ref="L20:N20"/>
    <mergeCell ref="O16:Q16"/>
    <mergeCell ref="D4:D5"/>
    <mergeCell ref="L22:N22"/>
    <mergeCell ref="O11:Q11"/>
    <mergeCell ref="L21:N21"/>
    <mergeCell ref="I19:K19"/>
    <mergeCell ref="R18:T18"/>
    <mergeCell ref="N3:T3"/>
    <mergeCell ref="F4:H4"/>
    <mergeCell ref="A17:E17"/>
    <mergeCell ref="I11:K11"/>
    <mergeCell ref="L16:N16"/>
    <mergeCell ref="F19:H19"/>
    <mergeCell ref="A19:E19"/>
    <mergeCell ref="O20:Q20"/>
    <mergeCell ref="R16:T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2026-10-27T08:46:06Z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
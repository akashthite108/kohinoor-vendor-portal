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COMP-20261015-164736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2026-10-15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Acme BuildTech</t>
        </is>
      </c>
      <c r="G4" s="109" t="n"/>
      <c r="H4" s="25" t="inlineStr">
        <is>
          <t>Acme BuildTech</t>
        </is>
      </c>
      <c r="J4" s="109" t="n"/>
      <c r="K4" s="27" t="inlineStr">
        <is>
          <t>Mahindra</t>
        </is>
      </c>
      <c r="L4" s="100" t="n"/>
      <c r="M4" s="110" t="n"/>
      <c r="N4" s="30" t="inlineStr">
        <is>
          <t xml:space="preserve">qert </t>
        </is>
      </c>
      <c r="O4" s="100" t="n"/>
      <c r="P4" s="110" t="n"/>
      <c r="Q4" s="30" t="inlineStr">
        <is>
          <t>Rab Pro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SuperBlock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Roff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Polymer Modified Tile Adhesive (25kg bag)</t>
        </is>
      </c>
      <c r="C7" s="43" t="n">
        <v>200</v>
      </c>
      <c r="D7" s="43" t="inlineStr">
        <is>
          <t>Bags</t>
        </is>
      </c>
      <c r="E7" s="120" t="n">
        <v>23</v>
      </c>
      <c r="F7" s="121" t="n">
        <v>23</v>
      </c>
      <c r="G7" s="121">
        <f>IF(F7&gt;0,C7*F7,IF(E7&gt;0,C7*E7,0))</f>
        <v/>
      </c>
      <c r="H7" s="121" t="n">
        <v>334</v>
      </c>
      <c r="I7" s="121" t="n">
        <v>334</v>
      </c>
      <c r="J7" s="121">
        <f>IF(I7&gt;0,C7*I7,IF(H7&gt;0,C7*H7,0))</f>
        <v/>
      </c>
      <c r="K7" s="121" t="n">
        <v>7865</v>
      </c>
      <c r="L7" s="121" t="n">
        <v>7865</v>
      </c>
      <c r="M7" s="122">
        <f>IF(L7&gt;0,C7*L7,IF(K7&gt;0,C7*K7,0))</f>
        <v/>
      </c>
      <c r="N7" s="121" t="n">
        <v>142.97</v>
      </c>
      <c r="O7" s="121" t="n">
        <v>142.97</v>
      </c>
      <c r="P7" s="122">
        <f>IF(O7&gt;0,C7*O7,IF(N7&gt;0,C7*N7,0))</f>
        <v/>
      </c>
      <c r="Q7" s="121" t="n">
        <v>256</v>
      </c>
      <c r="R7" s="121" t="n">
        <v>256</v>
      </c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344</v>
      </c>
      <c r="F8" s="124" t="n">
        <v>344</v>
      </c>
      <c r="G8" s="124">
        <f>IF(F8&gt;0,C8*F8,IF(E8&gt;0,C8*E8,0))</f>
        <v/>
      </c>
      <c r="H8" s="124" t="n">
        <v>233</v>
      </c>
      <c r="I8" s="124" t="n">
        <v>233</v>
      </c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inlineStr">
        <is>
          <t>OpC Blocks (600x200x150mm)</t>
        </is>
      </c>
      <c r="C9" s="53" t="n">
        <v>1</v>
      </c>
      <c r="D9" s="53" t="inlineStr">
        <is>
          <t>Nos</t>
        </is>
      </c>
      <c r="E9" s="126" t="n"/>
      <c r="F9" s="127" t="n"/>
      <c r="G9" s="127">
        <f>IF(F9&gt;0,C9*F9,IF(E9&gt;0,C9*E9,0))</f>
        <v/>
      </c>
      <c r="H9" s="127" t="n">
        <v>244.93</v>
      </c>
      <c r="I9" s="127" t="n">
        <v>244.93</v>
      </c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30024</t>
        </is>
      </c>
      <c r="L11" s="103" t="n"/>
      <c r="M11" s="135" t="n"/>
      <c r="N11" s="89" t="inlineStr">
        <is>
          <t>No</t>
        </is>
      </c>
      <c r="O11" s="103" t="n"/>
      <c r="P11" s="135" t="n"/>
      <c r="Q11" s="89" t="inlineStr">
        <is>
          <t>No</t>
        </is>
      </c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inlineStr">
        <is>
          <t>18% GST</t>
        </is>
      </c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Yes</t>
        </is>
      </c>
      <c r="F14" s="148" t="n"/>
      <c r="G14" s="150" t="n"/>
      <c r="H14" s="48" t="inlineStr">
        <is>
          <t>Yes</t>
        </is>
      </c>
      <c r="I14" s="148" t="n"/>
      <c r="J14" s="150" t="n"/>
      <c r="K14" s="48" t="inlineStr">
        <is>
          <t>No</t>
        </is>
      </c>
      <c r="L14" s="148" t="n"/>
      <c r="M14" s="150" t="n"/>
      <c r="N14" s="48" t="inlineStr">
        <is>
          <t>No</t>
        </is>
      </c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inlineStr">
        <is>
          <t>Included</t>
        </is>
      </c>
      <c r="L15" s="103" t="n"/>
      <c r="M15" s="104" t="n"/>
      <c r="N15" s="68" t="inlineStr">
        <is>
          <t>Included</t>
        </is>
      </c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inlineStr">
        <is>
          <t>Not Applicable</t>
        </is>
      </c>
      <c r="L16" s="103" t="n"/>
      <c r="M16" s="104" t="n"/>
      <c r="N16" s="68" t="inlineStr">
        <is>
          <t>Not Applicable</t>
        </is>
      </c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inlineStr">
        <is>
          <t>Included</t>
        </is>
      </c>
      <c r="L17" s="148" t="n"/>
      <c r="M17" s="150" t="n"/>
      <c r="N17" s="48" t="inlineStr">
        <is>
          <t>Included</t>
        </is>
      </c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inlineStr">
        <is>
          <t>Included</t>
        </is>
      </c>
      <c r="L18" s="148" t="n"/>
      <c r="M18" s="150" t="n"/>
      <c r="N18" s="48" t="inlineStr">
        <is>
          <t>Included</t>
        </is>
      </c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inlineStr">
        <is>
          <t>1 Year Standard</t>
        </is>
      </c>
      <c r="L19" s="148" t="n"/>
      <c r="M19" s="150" t="n"/>
      <c r="N19" s="48" t="inlineStr">
        <is>
          <t>1 Year Standard</t>
        </is>
      </c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inlineStr">
        <is>
          <t>1 Year Standard</t>
        </is>
      </c>
      <c r="L20" s="148" t="n"/>
      <c r="M20" s="150" t="n"/>
      <c r="N20" s="48" t="inlineStr">
        <is>
          <t>1 Year Standard</t>
        </is>
      </c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Yes</t>
        </is>
      </c>
      <c r="F21" s="148" t="n"/>
      <c r="G21" s="150" t="n"/>
      <c r="H21" s="48" t="inlineStr">
        <is>
          <t>Yes</t>
        </is>
      </c>
      <c r="I21" s="148" t="n"/>
      <c r="J21" s="150" t="n"/>
      <c r="K21" s="48" t="inlineStr">
        <is>
          <t>No</t>
        </is>
      </c>
      <c r="L21" s="148" t="n"/>
      <c r="M21" s="150" t="n"/>
      <c r="N21" s="48" t="inlineStr">
        <is>
          <t>No</t>
        </is>
      </c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inlineStr">
        <is>
          <t>Within 7 Days</t>
        </is>
      </c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inlineStr">
        <is>
          <t>30 Days Credit</t>
        </is>
      </c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inlineStr">
        <is>
          <t>60 Days</t>
        </is>
      </c>
      <c r="L24" s="107" t="n"/>
      <c r="M24" s="108" t="n"/>
      <c r="N24" s="94" t="inlineStr">
        <is>
          <t>60 Days</t>
        </is>
      </c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2026-10-15T11:17:37Z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
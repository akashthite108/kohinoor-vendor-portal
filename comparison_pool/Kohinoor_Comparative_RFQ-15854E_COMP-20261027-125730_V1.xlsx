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1" borderId="5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9" applyAlignment="1">
      <alignment vertical="center"/>
    </xf>
    <xf numFmtId="0" fontId="12" fillId="0" borderId="59" applyAlignment="1">
      <alignment vertical="center"/>
    </xf>
    <xf numFmtId="0" fontId="13" fillId="0" borderId="60" applyAlignment="1">
      <alignment vertical="center"/>
    </xf>
    <xf numFmtId="0" fontId="13" fillId="0" borderId="0" applyAlignment="1">
      <alignment vertical="center"/>
    </xf>
    <xf numFmtId="0" fontId="14" fillId="12" borderId="61" applyAlignment="1">
      <alignment vertical="center"/>
    </xf>
    <xf numFmtId="0" fontId="15" fillId="13" borderId="62" applyAlignment="1">
      <alignment vertical="center"/>
    </xf>
    <xf numFmtId="0" fontId="16" fillId="13" borderId="61" applyAlignment="1">
      <alignment vertical="center"/>
    </xf>
    <xf numFmtId="0" fontId="17" fillId="14" borderId="63" applyAlignment="1">
      <alignment vertical="center"/>
    </xf>
    <xf numFmtId="0" fontId="18" fillId="0" borderId="64" applyAlignment="1">
      <alignment vertical="center"/>
    </xf>
    <xf numFmtId="0" fontId="19" fillId="0" borderId="65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1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5" fillId="6" borderId="17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21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5" fillId="7" borderId="24" applyAlignment="1" pivotButton="0" quotePrefix="0" xfId="0">
      <alignment horizontal="center" vertical="center" wrapText="1"/>
    </xf>
    <xf numFmtId="0" fontId="5" fillId="7" borderId="2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165" fontId="4" fillId="0" borderId="35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26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165" fontId="4" fillId="0" borderId="26" applyAlignment="1" pivotButton="0" quotePrefix="0" xfId="0">
      <alignment horizontal="center" vertical="center" wrapText="1"/>
    </xf>
    <xf numFmtId="165" fontId="4" fillId="9" borderId="24" applyAlignment="1" pivotButton="0" quotePrefix="0" xfId="0">
      <alignment horizontal="center" vertical="center" wrapText="1"/>
    </xf>
    <xf numFmtId="165" fontId="4" fillId="0" borderId="3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44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0" borderId="4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4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31" applyAlignment="1" pivotButton="0" quotePrefix="0" xfId="0">
      <alignment horizontal="center" vertical="center" wrapText="1"/>
    </xf>
    <xf numFmtId="0" fontId="4" fillId="5" borderId="53" applyAlignment="1" pivotButton="0" quotePrefix="0" xfId="0">
      <alignment horizontal="center" vertical="center" wrapText="1"/>
    </xf>
    <xf numFmtId="0" fontId="4" fillId="5" borderId="54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2" fillId="2" borderId="6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6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5" fillId="6" borderId="1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73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165" fontId="4" fillId="0" borderId="35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8" borderId="66" applyAlignment="1" pivotButton="0" quotePrefix="0" xfId="0">
      <alignment horizontal="center" vertical="center" wrapText="1"/>
    </xf>
    <xf numFmtId="165" fontId="4" fillId="9" borderId="26" applyAlignment="1" pivotButton="0" quotePrefix="0" xfId="0">
      <alignment horizontal="center" vertical="center" wrapText="1"/>
    </xf>
    <xf numFmtId="165" fontId="4" fillId="9" borderId="24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 wrapText="1"/>
    </xf>
    <xf numFmtId="0" fontId="0" fillId="0" borderId="40" pivotButton="0" quotePrefix="0" xfId="0"/>
    <xf numFmtId="0" fontId="4" fillId="0" borderId="70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5" fontId="4" fillId="0" borderId="44" applyAlignment="1" pivotButton="0" quotePrefix="0" xfId="0">
      <alignment horizontal="center" vertical="center" wrapText="1"/>
    </xf>
    <xf numFmtId="0" fontId="0" fillId="0" borderId="44" pivotButton="0" quotePrefix="0" xfId="0"/>
    <xf numFmtId="0" fontId="4" fillId="10" borderId="66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4" fillId="0" borderId="72" applyAlignment="1" pivotButton="0" quotePrefix="0" xfId="0">
      <alignment horizontal="center" vertical="center" wrapText="1"/>
    </xf>
    <xf numFmtId="0" fontId="0" fillId="0" borderId="52" pivotButton="0" quotePrefix="0" xfId="0"/>
    <xf numFmtId="0" fontId="4" fillId="5" borderId="3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E4" sqref="E4:G4"/>
    </sheetView>
  </sheetViews>
  <sheetFormatPr baseColWidth="8" defaultColWidth="9" defaultRowHeight="15"/>
  <cols>
    <col width="15.2" customWidth="1" style="1" min="1" max="1"/>
    <col width="32.7142857142857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101" t="inlineStr">
        <is>
          <t>Tracking Code: COMP-20261027-125730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2" t="n"/>
      <c r="R1" s="102" t="n"/>
      <c r="S1" s="103" t="n"/>
    </row>
    <row r="2" ht="30.5" customFormat="1" customHeight="1" s="1">
      <c r="A2" s="6" t="inlineStr">
        <is>
          <t>Project :</t>
        </is>
      </c>
      <c r="B2" s="104" t="inlineStr">
        <is>
          <t>Kohinoor West View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6" t="n"/>
      <c r="L2" s="10" t="inlineStr">
        <is>
          <t>2026-10-27</t>
        </is>
      </c>
      <c r="M2" s="107" t="n"/>
      <c r="N2" s="105" t="n"/>
      <c r="O2" s="105" t="n"/>
      <c r="P2" s="105" t="n"/>
      <c r="Q2" s="105" t="n"/>
      <c r="R2" s="105" t="n"/>
      <c r="S2" s="106" t="n"/>
    </row>
    <row r="3" ht="30.5" customFormat="1" customHeight="1" s="1">
      <c r="A3" s="13" t="inlineStr">
        <is>
          <t>Tower :</t>
        </is>
      </c>
      <c r="B3" s="108" t="inlineStr">
        <is>
          <t>Tower A - Phase 2</t>
        </is>
      </c>
      <c r="C3" s="109" t="n"/>
      <c r="D3" s="109" t="n"/>
      <c r="E3" s="109" t="n"/>
      <c r="F3" s="109" t="n"/>
      <c r="G3" s="109" t="n"/>
      <c r="H3" s="109" t="n"/>
      <c r="I3" s="109" t="n"/>
      <c r="J3" s="109" t="n"/>
      <c r="K3" s="110" t="n"/>
      <c r="L3" s="17" t="inlineStr">
        <is>
          <t>Purchase Dept (Automated)</t>
        </is>
      </c>
      <c r="M3" s="18" t="n"/>
      <c r="N3" s="109" t="n"/>
      <c r="O3" s="109" t="n"/>
      <c r="P3" s="109" t="n"/>
      <c r="Q3" s="109" t="n"/>
      <c r="R3" s="109" t="n"/>
      <c r="S3" s="110" t="n"/>
    </row>
    <row r="4" ht="31.25" customFormat="1" customHeight="1" s="1">
      <c r="A4" s="20" t="inlineStr">
        <is>
          <t>Sr.No</t>
        </is>
      </c>
      <c r="B4" s="111" t="inlineStr">
        <is>
          <t xml:space="preserve"> Material Description</t>
        </is>
      </c>
      <c r="C4" s="111" t="inlineStr">
        <is>
          <t>Qty</t>
        </is>
      </c>
      <c r="D4" s="112" t="inlineStr">
        <is>
          <t>Unit</t>
        </is>
      </c>
      <c r="E4" s="23" t="inlineStr">
        <is>
          <t>Apex Building Solutions Pvt Ltd</t>
        </is>
      </c>
      <c r="F4" s="113" t="n"/>
      <c r="G4" s="114" t="n"/>
      <c r="H4" s="25" t="inlineStr">
        <is>
          <t>Shree Ram Infra Mart Enterprise</t>
        </is>
      </c>
      <c r="I4" s="113" t="n"/>
      <c r="J4" s="114" t="n"/>
      <c r="K4" s="27" t="inlineStr">
        <is>
          <t>Zenith Steel &amp; Cement Traders LLP</t>
        </is>
      </c>
      <c r="L4" s="102" t="n"/>
      <c r="M4" s="115" t="n"/>
      <c r="N4" s="30" t="inlineStr">
        <is>
          <t>Vendor D</t>
        </is>
      </c>
      <c r="O4" s="102" t="n"/>
      <c r="P4" s="115" t="n"/>
      <c r="Q4" s="30" t="inlineStr">
        <is>
          <t>Vendor E</t>
        </is>
      </c>
      <c r="R4" s="102" t="n"/>
      <c r="S4" s="115" t="n"/>
    </row>
    <row r="5" ht="31.25" customFormat="1" customHeight="1" s="1">
      <c r="A5" s="116" t="n"/>
      <c r="B5" s="116" t="n"/>
      <c r="C5" s="116" t="n"/>
      <c r="D5" s="117" t="n"/>
      <c r="E5" s="118" t="inlineStr">
        <is>
          <t>Local Premium Quarry</t>
        </is>
      </c>
      <c r="F5" s="113" t="n"/>
      <c r="G5" s="114" t="n"/>
      <c r="H5" s="36" t="inlineStr">
        <is>
          <t>Prime Blue Metal Quarry</t>
        </is>
      </c>
      <c r="I5" s="113" t="n"/>
      <c r="J5" s="114" t="n"/>
      <c r="K5" s="37" t="inlineStr">
        <is>
          <t>Certified Quarry Graded</t>
        </is>
      </c>
      <c r="L5" s="113" t="n"/>
      <c r="M5" s="119" t="n"/>
      <c r="N5" s="37" t="inlineStr">
        <is>
          <t>Brand!</t>
        </is>
      </c>
      <c r="O5" s="113" t="n"/>
      <c r="P5" s="119" t="n"/>
      <c r="Q5" s="37" t="inlineStr">
        <is>
          <t>Brand!</t>
        </is>
      </c>
      <c r="R5" s="113" t="n"/>
      <c r="S5" s="119" t="n"/>
    </row>
    <row r="6" ht="37" customFormat="1" customHeight="1" s="1">
      <c r="A6" s="120" t="n"/>
      <c r="B6" s="121" t="n"/>
      <c r="C6" s="121" t="n"/>
      <c r="D6" s="122" t="n"/>
      <c r="E6" s="41" t="inlineStr">
        <is>
          <t>Rate R0</t>
        </is>
      </c>
      <c r="F6" s="42" t="inlineStr">
        <is>
          <t>Rate R1</t>
        </is>
      </c>
      <c r="G6" s="42" t="inlineStr">
        <is>
          <t>Amount</t>
        </is>
      </c>
      <c r="H6" s="42" t="inlineStr">
        <is>
          <t>Rate R0</t>
        </is>
      </c>
      <c r="I6" s="42" t="inlineStr">
        <is>
          <t>Rate R1</t>
        </is>
      </c>
      <c r="J6" s="42" t="inlineStr">
        <is>
          <t>Amount</t>
        </is>
      </c>
      <c r="K6" s="42" t="inlineStr">
        <is>
          <t>Rate R0</t>
        </is>
      </c>
      <c r="L6" s="42" t="inlineStr">
        <is>
          <t>Rate R1</t>
        </is>
      </c>
      <c r="M6" s="43" t="inlineStr">
        <is>
          <t>Amount</t>
        </is>
      </c>
      <c r="N6" s="42" t="inlineStr">
        <is>
          <t>Rate R0</t>
        </is>
      </c>
      <c r="O6" s="42" t="inlineStr">
        <is>
          <t>Rate R1</t>
        </is>
      </c>
      <c r="P6" s="43" t="inlineStr">
        <is>
          <t>Amount</t>
        </is>
      </c>
      <c r="Q6" s="42" t="inlineStr">
        <is>
          <t>Rate R0</t>
        </is>
      </c>
      <c r="R6" s="42" t="inlineStr">
        <is>
          <t>Rate R1</t>
        </is>
      </c>
      <c r="S6" s="43" t="inlineStr">
        <is>
          <t>Amount</t>
        </is>
      </c>
    </row>
    <row r="7" ht="30.5" customFormat="1" customHeight="1" s="1">
      <c r="A7" s="44" t="n">
        <v>1</v>
      </c>
      <c r="B7" s="45" t="inlineStr">
        <is>
          <t>Portland Cement (50 kg Bag)</t>
        </is>
      </c>
      <c r="C7" s="45" t="n">
        <v>500</v>
      </c>
      <c r="D7" s="45" t="inlineStr">
        <is>
          <t>Bags</t>
        </is>
      </c>
      <c r="E7" s="123" t="n">
        <v>380</v>
      </c>
      <c r="F7" s="123" t="n">
        <v>375</v>
      </c>
      <c r="G7" s="123">
        <f>IF(F7&gt;0,C7*F7,IF(E7&gt;0,C7*E7,0))</f>
        <v/>
      </c>
      <c r="H7" s="123" t="n">
        <v>375</v>
      </c>
      <c r="I7" s="123" t="n">
        <v>370</v>
      </c>
      <c r="J7" s="123">
        <f>IF(I7&gt;0,C7*I7,IF(H7&gt;0,C7*H7,0))</f>
        <v/>
      </c>
      <c r="K7" s="123" t="n">
        <v>365</v>
      </c>
      <c r="L7" s="123" t="n">
        <v>360</v>
      </c>
      <c r="M7" s="123">
        <f>IF(L7&gt;0,C7*L7,IF(K7&gt;0,C7*K7,0))</f>
        <v/>
      </c>
      <c r="N7" s="123" t="n"/>
      <c r="O7" s="123" t="n"/>
      <c r="P7" s="123">
        <f>IF(O7&gt;0,C7*O7,IF(N7&gt;0,C7*N7,0))</f>
        <v/>
      </c>
      <c r="Q7" s="123" t="n"/>
      <c r="R7" s="123" t="n"/>
      <c r="S7" s="124">
        <f>IF(R7&gt;0,C7*R7,IF(Q7&gt;0,C7*Q7,0))</f>
        <v/>
      </c>
    </row>
    <row r="8" ht="30.5" customFormat="1" customHeight="1" s="1">
      <c r="A8" s="48" t="n">
        <v>2</v>
      </c>
      <c r="B8" s="49" t="inlineStr">
        <is>
          <t>TMT Steel Bars Fe 500D (12mm)</t>
        </is>
      </c>
      <c r="C8" s="49" t="n">
        <v>10</v>
      </c>
      <c r="D8" s="49" t="inlineStr">
        <is>
          <t>MT</t>
        </is>
      </c>
      <c r="E8" s="125" t="n">
        <v>54000</v>
      </c>
      <c r="F8" s="125" t="n">
        <v>53500</v>
      </c>
      <c r="G8" s="125">
        <f>IF(F8&gt;0,C8*F8,IF(E8&gt;0,C8*E8,0))</f>
        <v/>
      </c>
      <c r="H8" s="125" t="n">
        <v>53200</v>
      </c>
      <c r="I8" s="125" t="n">
        <v>52800</v>
      </c>
      <c r="J8" s="125">
        <f>IF(I8&gt;0,C8*I8,IF(H8&gt;0,C8*H8,0))</f>
        <v/>
      </c>
      <c r="K8" s="125" t="n">
        <v>52500</v>
      </c>
      <c r="L8" s="125" t="n">
        <v>51800</v>
      </c>
      <c r="M8" s="125">
        <f>IF(L8&gt;0,C8*L8,IF(K8&gt;0,C8*K8,0))</f>
        <v/>
      </c>
      <c r="N8" s="125" t="n"/>
      <c r="O8" s="125" t="n"/>
      <c r="P8" s="125">
        <f>IF(O8&gt;0,C8*O8,IF(N8&gt;0,C8*N8,0))</f>
        <v/>
      </c>
      <c r="Q8" s="125" t="n"/>
      <c r="R8" s="125" t="n"/>
      <c r="S8" s="126">
        <f>IF(R8&gt;0,C8*R8,IF(Q8&gt;0,C8*Q8,0))</f>
        <v/>
      </c>
    </row>
    <row r="9" ht="30.5" customFormat="1" customHeight="1" s="1">
      <c r="A9" s="52" t="n">
        <v>3</v>
      </c>
      <c r="B9" s="53" t="inlineStr">
        <is>
          <t>Crushed Stone Aggregate (20mm)</t>
        </is>
      </c>
      <c r="C9" s="53" t="n">
        <v>200</v>
      </c>
      <c r="D9" s="53" t="inlineStr">
        <is>
          <t>Brass</t>
        </is>
      </c>
      <c r="E9" s="125" t="n">
        <v>1200</v>
      </c>
      <c r="F9" s="125" t="n">
        <v>1150</v>
      </c>
      <c r="G9" s="125">
        <f>IF(F9&gt;0,C9*F9,IF(E9&gt;0,C9*E9,0))</f>
        <v/>
      </c>
      <c r="H9" s="125" t="n">
        <v>1100</v>
      </c>
      <c r="I9" s="125" t="n">
        <v>1050</v>
      </c>
      <c r="J9" s="125">
        <f>IF(I9&gt;0,C9*I9,IF(H9&gt;0,C9*H9,0))</f>
        <v/>
      </c>
      <c r="K9" s="125" t="n">
        <v>1150</v>
      </c>
      <c r="L9" s="125" t="n">
        <v>1100</v>
      </c>
      <c r="M9" s="125">
        <f>IF(L9&gt;0,C9*L9,IF(K9&gt;0,C9*K9,0))</f>
        <v/>
      </c>
      <c r="N9" s="125" t="n"/>
      <c r="O9" s="125" t="n"/>
      <c r="P9" s="125">
        <f>IF(O9&gt;0,C9*O9,IF(N9&gt;0,C9*N9,0))</f>
        <v/>
      </c>
      <c r="Q9" s="125" t="n"/>
      <c r="R9" s="125" t="n"/>
      <c r="S9" s="126">
        <f>IF(R9&gt;0,C9*R9,IF(Q9&gt;0,C9*Q9,0))</f>
        <v/>
      </c>
    </row>
    <row r="10" ht="30.5" customFormat="1" customHeight="1" s="1">
      <c r="A10" s="52" t="n">
        <v>4</v>
      </c>
      <c r="B10" s="53" t="n"/>
      <c r="C10" s="53" t="n"/>
      <c r="D10" s="53" t="n"/>
      <c r="E10" s="125" t="n"/>
      <c r="F10" s="125" t="n"/>
      <c r="G10" s="125">
        <f>IF(F10&gt;0,C10*F10,IF(E10&gt;0,C10*E10,0))</f>
        <v/>
      </c>
      <c r="H10" s="125" t="n"/>
      <c r="I10" s="125" t="n"/>
      <c r="J10" s="125">
        <f>IF(I10&gt;0,C10*I10,IF(H10&gt;0,C10*H10,0))</f>
        <v/>
      </c>
      <c r="K10" s="125" t="n"/>
      <c r="L10" s="125" t="n"/>
      <c r="M10" s="125">
        <f>IF(L10&gt;0,C10*L10,IF(K10&gt;0,C10*K10,0))</f>
        <v/>
      </c>
      <c r="N10" s="125" t="n"/>
      <c r="O10" s="125" t="n"/>
      <c r="P10" s="125">
        <f>IF(O10&gt;0,C10*O10,IF(N10&gt;0,C10*N10,0))</f>
        <v/>
      </c>
      <c r="Q10" s="125" t="n"/>
      <c r="R10" s="125" t="n"/>
      <c r="S10" s="126">
        <f>IF(R10&gt;0,C10*R10,IF(Q10&gt;0,C10*Q10,0))</f>
        <v/>
      </c>
    </row>
    <row r="11" ht="30.5" customFormat="1" customHeight="1" s="1">
      <c r="A11" s="52" t="n">
        <v>5</v>
      </c>
      <c r="B11" s="53" t="n"/>
      <c r="C11" s="53" t="n"/>
      <c r="D11" s="53" t="n"/>
      <c r="E11" s="127" t="n"/>
      <c r="F11" s="127" t="n"/>
      <c r="G11" s="127">
        <f>IF(F11&gt;0,C11*F11,IF(E11&gt;0,C11*E11,0))</f>
        <v/>
      </c>
      <c r="H11" s="127" t="n"/>
      <c r="I11" s="127" t="n"/>
      <c r="J11" s="127">
        <f>IF(I11&gt;0,C11*I11,IF(H11&gt;0,C11*H11,0))</f>
        <v/>
      </c>
      <c r="K11" s="127" t="n"/>
      <c r="L11" s="127" t="n"/>
      <c r="M11" s="127">
        <f>IF(L11&gt;0,C11*L11,IF(K11&gt;0,C11*K11,0))</f>
        <v/>
      </c>
      <c r="N11" s="127" t="n"/>
      <c r="O11" s="127" t="n"/>
      <c r="P11" s="127">
        <f>IF(O11&gt;0,C11*O11,IF(N11&gt;0,C11*N11,0))</f>
        <v/>
      </c>
      <c r="Q11" s="127" t="n"/>
      <c r="R11" s="127" t="n"/>
      <c r="S11" s="128">
        <f>IF(R11&gt;0,C11*R11,IF(Q11&gt;0,C11*Q11,0))</f>
        <v/>
      </c>
    </row>
    <row r="12" ht="30.5" customFormat="1" customHeight="1" s="1">
      <c r="A12" s="129" t="inlineStr">
        <is>
          <t>Basic Value</t>
        </is>
      </c>
      <c r="B12" s="102" t="n"/>
      <c r="C12" s="102" t="n"/>
      <c r="D12" s="103" t="n"/>
      <c r="E12" s="130">
        <f>SUM(G7:G11)</f>
        <v/>
      </c>
      <c r="F12" s="102" t="n"/>
      <c r="G12" s="115" t="n"/>
      <c r="H12" s="131">
        <f>SUM(J7:J11)</f>
        <v/>
      </c>
      <c r="I12" s="102" t="n"/>
      <c r="J12" s="115" t="n"/>
      <c r="K12" s="131">
        <f>SUM(M7:M11)</f>
        <v/>
      </c>
      <c r="L12" s="102" t="n"/>
      <c r="M12" s="115" t="n"/>
      <c r="N12" s="131">
        <f>SUM(P7:P11)</f>
        <v/>
      </c>
      <c r="O12" s="102" t="n"/>
      <c r="P12" s="115" t="n"/>
      <c r="Q12" s="131">
        <f>SUM(S7:S11)</f>
        <v/>
      </c>
      <c r="R12" s="102" t="n"/>
      <c r="S12" s="115" t="n"/>
    </row>
    <row r="13" ht="30.5" customFormat="1" customHeight="1" s="1">
      <c r="A13" s="132" t="inlineStr">
        <is>
          <t>Transport</t>
        </is>
      </c>
      <c r="B13" s="105" t="n"/>
      <c r="C13" s="105" t="n"/>
      <c r="D13" s="133" t="n"/>
      <c r="E13" s="67" t="inlineStr">
        <is>
          <t>No</t>
        </is>
      </c>
      <c r="F13" s="105" t="n"/>
      <c r="G13" s="106" t="n"/>
      <c r="H13" s="45" t="inlineStr">
        <is>
          <t>No</t>
        </is>
      </c>
      <c r="I13" s="105" t="n"/>
      <c r="J13" s="106" t="n"/>
      <c r="K13" s="88" t="inlineStr">
        <is>
          <t>Included</t>
        </is>
      </c>
      <c r="L13" s="105" t="n"/>
      <c r="M13" s="133" t="n"/>
      <c r="N13" s="88" t="n"/>
      <c r="O13" s="105" t="n"/>
      <c r="P13" s="133" t="n"/>
      <c r="Q13" s="88" t="n"/>
      <c r="R13" s="105" t="n"/>
      <c r="S13" s="133" t="n"/>
    </row>
    <row r="14" ht="30.5" customFormat="1" customHeight="1" s="1">
      <c r="A14" s="134" t="inlineStr">
        <is>
          <t>GST</t>
        </is>
      </c>
      <c r="B14" s="135" t="n"/>
      <c r="C14" s="135" t="n"/>
      <c r="D14" s="136" t="n"/>
      <c r="E14" s="137" t="inlineStr">
        <is>
          <t>18</t>
        </is>
      </c>
      <c r="F14" s="135" t="n"/>
      <c r="G14" s="138" t="n"/>
      <c r="H14" s="127" t="inlineStr">
        <is>
          <t>18</t>
        </is>
      </c>
      <c r="I14" s="135" t="n"/>
      <c r="J14" s="138" t="n"/>
      <c r="K14" s="128" t="inlineStr">
        <is>
          <t>18</t>
        </is>
      </c>
      <c r="L14" s="135" t="n"/>
      <c r="M14" s="136" t="n"/>
      <c r="N14" s="128" t="n"/>
      <c r="O14" s="135" t="n"/>
      <c r="P14" s="136" t="n"/>
      <c r="Q14" s="128" t="n"/>
      <c r="R14" s="135" t="n"/>
      <c r="S14" s="136" t="n"/>
    </row>
    <row r="15" ht="30.5" customFormat="1" customHeight="1" s="1">
      <c r="A15" s="139" t="inlineStr">
        <is>
          <t>Final Value / Amount</t>
        </is>
      </c>
      <c r="B15" s="102" t="n"/>
      <c r="C15" s="102" t="n"/>
      <c r="D15" s="103" t="n"/>
      <c r="E15" s="140">
        <f>SUM(E12:G14)</f>
        <v/>
      </c>
      <c r="F15" s="102" t="n"/>
      <c r="G15" s="115" t="n"/>
      <c r="H15" s="141">
        <f>SUM(H12:J14)</f>
        <v/>
      </c>
      <c r="I15" s="102" t="n"/>
      <c r="J15" s="115" t="n"/>
      <c r="K15" s="142">
        <f>SUM(K12:M14)</f>
        <v/>
      </c>
      <c r="L15" s="102" t="n"/>
      <c r="M15" s="103" t="n"/>
      <c r="N15" s="142">
        <f>SUM(N12:P14)</f>
        <v/>
      </c>
      <c r="O15" s="102" t="n"/>
      <c r="P15" s="103" t="n"/>
      <c r="Q15" s="142">
        <f>SUM(Q12:S14)</f>
        <v/>
      </c>
      <c r="R15" s="102" t="n"/>
      <c r="S15" s="103" t="n"/>
    </row>
    <row r="16" ht="30.5" customFormat="1" customHeight="1" s="1">
      <c r="A16" s="143" t="inlineStr">
        <is>
          <t>Earlier Supplied</t>
        </is>
      </c>
      <c r="B16" s="144" t="n"/>
      <c r="C16" s="144" t="n"/>
      <c r="D16" s="145" t="n"/>
      <c r="E16" s="86" t="inlineStr">
        <is>
          <t>Yes</t>
        </is>
      </c>
      <c r="F16" s="144" t="n"/>
      <c r="G16" s="146" t="n"/>
      <c r="H16" s="49" t="inlineStr">
        <is>
          <t>Yes</t>
        </is>
      </c>
      <c r="I16" s="144" t="n"/>
      <c r="J16" s="146" t="n"/>
      <c r="K16" s="49" t="inlineStr">
        <is>
          <t>Yes</t>
        </is>
      </c>
      <c r="L16" s="144" t="n"/>
      <c r="M16" s="146" t="n"/>
      <c r="N16" s="49" t="n"/>
      <c r="O16" s="144" t="n"/>
      <c r="P16" s="146" t="n"/>
      <c r="Q16" s="49" t="n"/>
      <c r="R16" s="144" t="n"/>
      <c r="S16" s="146" t="n"/>
    </row>
    <row r="17" ht="30.5" customFormat="1" customHeight="1" s="1">
      <c r="A17" s="48" t="inlineStr">
        <is>
          <t>Loading</t>
        </is>
      </c>
      <c r="B17" s="144" t="n"/>
      <c r="C17" s="144" t="n"/>
      <c r="D17" s="146" t="n"/>
      <c r="E17" s="67" t="inlineStr">
        <is>
          <t>Included</t>
        </is>
      </c>
      <c r="F17" s="105" t="n"/>
      <c r="G17" s="106" t="n"/>
      <c r="H17" s="67" t="inlineStr">
        <is>
          <t>Included</t>
        </is>
      </c>
      <c r="I17" s="105" t="n"/>
      <c r="J17" s="106" t="n"/>
      <c r="K17" s="67" t="inlineStr">
        <is>
          <t>Included</t>
        </is>
      </c>
      <c r="L17" s="105" t="n"/>
      <c r="M17" s="106" t="n"/>
      <c r="N17" s="67" t="n"/>
      <c r="O17" s="105" t="n"/>
      <c r="P17" s="106" t="n"/>
      <c r="Q17" s="67" t="n"/>
      <c r="R17" s="105" t="n"/>
      <c r="S17" s="106" t="n"/>
    </row>
    <row r="18" ht="30.5" customFormat="1" customHeight="1" s="1">
      <c r="A18" s="48" t="inlineStr">
        <is>
          <t>Insurance</t>
        </is>
      </c>
      <c r="B18" s="144" t="n"/>
      <c r="C18" s="144" t="n"/>
      <c r="D18" s="146" t="n"/>
      <c r="E18" s="67" t="inlineStr">
        <is>
          <t>Not Applicable</t>
        </is>
      </c>
      <c r="F18" s="105" t="n"/>
      <c r="G18" s="106" t="n"/>
      <c r="H18" s="67" t="inlineStr">
        <is>
          <t>Not Applicable</t>
        </is>
      </c>
      <c r="I18" s="105" t="n"/>
      <c r="J18" s="106" t="n"/>
      <c r="K18" s="67" t="inlineStr">
        <is>
          <t>Not Applicable</t>
        </is>
      </c>
      <c r="L18" s="105" t="n"/>
      <c r="M18" s="106" t="n"/>
      <c r="N18" s="67" t="n"/>
      <c r="O18" s="105" t="n"/>
      <c r="P18" s="106" t="n"/>
      <c r="Q18" s="67" t="n"/>
      <c r="R18" s="105" t="n"/>
      <c r="S18" s="106" t="n"/>
    </row>
    <row r="19" ht="30.5" customFormat="1" customHeight="1" s="1">
      <c r="A19" s="132" t="inlineStr">
        <is>
          <t>Unloading</t>
        </is>
      </c>
      <c r="B19" s="105" t="n"/>
      <c r="C19" s="105" t="n"/>
      <c r="D19" s="133" t="n"/>
      <c r="E19" s="67" t="inlineStr">
        <is>
          <t>Included</t>
        </is>
      </c>
      <c r="F19" s="105" t="n"/>
      <c r="G19" s="106" t="n"/>
      <c r="H19" s="67" t="inlineStr">
        <is>
          <t>Included</t>
        </is>
      </c>
      <c r="I19" s="105" t="n"/>
      <c r="J19" s="106" t="n"/>
      <c r="K19" s="49" t="inlineStr">
        <is>
          <t>Included</t>
        </is>
      </c>
      <c r="L19" s="144" t="n"/>
      <c r="M19" s="146" t="n"/>
      <c r="N19" s="49" t="n"/>
      <c r="O19" s="144" t="n"/>
      <c r="P19" s="146" t="n"/>
      <c r="Q19" s="49" t="n"/>
      <c r="R19" s="144" t="n"/>
      <c r="S19" s="146" t="n"/>
    </row>
    <row r="20" ht="30.5" customFormat="1" customHeight="1" s="1">
      <c r="A20" s="143" t="inlineStr">
        <is>
          <t>Erection / Commissioning / Installation</t>
        </is>
      </c>
      <c r="B20" s="144" t="n"/>
      <c r="C20" s="144" t="n"/>
      <c r="D20" s="145" t="n"/>
      <c r="E20" s="86" t="inlineStr">
        <is>
          <t>N/A</t>
        </is>
      </c>
      <c r="F20" s="144" t="n"/>
      <c r="G20" s="146" t="n"/>
      <c r="H20" s="49" t="inlineStr">
        <is>
          <t>N/A</t>
        </is>
      </c>
      <c r="I20" s="144" t="n"/>
      <c r="J20" s="146" t="n"/>
      <c r="K20" s="49" t="inlineStr">
        <is>
          <t>N/A</t>
        </is>
      </c>
      <c r="L20" s="144" t="n"/>
      <c r="M20" s="146" t="n"/>
      <c r="N20" s="49" t="n"/>
      <c r="O20" s="144" t="n"/>
      <c r="P20" s="146" t="n"/>
      <c r="Q20" s="49" t="n"/>
      <c r="R20" s="144" t="n"/>
      <c r="S20" s="146" t="n"/>
    </row>
    <row r="21" ht="30.5" customFormat="1" customHeight="1" s="1">
      <c r="A21" s="143" t="inlineStr">
        <is>
          <t>Warranty</t>
        </is>
      </c>
      <c r="B21" s="144" t="n"/>
      <c r="C21" s="144" t="n"/>
      <c r="D21" s="145" t="n"/>
      <c r="E21" s="86" t="inlineStr">
        <is>
          <t>1 Year Standard</t>
        </is>
      </c>
      <c r="F21" s="144" t="n"/>
      <c r="G21" s="146" t="n"/>
      <c r="H21" s="49" t="inlineStr">
        <is>
          <t>1 Year Standard</t>
        </is>
      </c>
      <c r="I21" s="144" t="n"/>
      <c r="J21" s="146" t="n"/>
      <c r="K21" s="49" t="inlineStr">
        <is>
          <t>1 Year Standard</t>
        </is>
      </c>
      <c r="L21" s="144" t="n"/>
      <c r="M21" s="146" t="n"/>
      <c r="N21" s="49" t="n"/>
      <c r="O21" s="144" t="n"/>
      <c r="P21" s="146" t="n"/>
      <c r="Q21" s="49" t="n"/>
      <c r="R21" s="144" t="n"/>
      <c r="S21" s="146" t="n"/>
    </row>
    <row r="22" ht="30.5" customFormat="1" customHeight="1" s="1">
      <c r="A22" s="143" t="inlineStr">
        <is>
          <t>Guarantee</t>
        </is>
      </c>
      <c r="B22" s="144" t="n"/>
      <c r="C22" s="144" t="n"/>
      <c r="D22" s="145" t="n"/>
      <c r="E22" s="86" t="inlineStr">
        <is>
          <t>1 Year Standard</t>
        </is>
      </c>
      <c r="F22" s="144" t="n"/>
      <c r="G22" s="146" t="n"/>
      <c r="H22" s="49" t="inlineStr">
        <is>
          <t>1 Year Standard</t>
        </is>
      </c>
      <c r="I22" s="144" t="n"/>
      <c r="J22" s="146" t="n"/>
      <c r="K22" s="49" t="inlineStr">
        <is>
          <t>1 Year Standard</t>
        </is>
      </c>
      <c r="L22" s="144" t="n"/>
      <c r="M22" s="146" t="n"/>
      <c r="N22" s="49" t="n"/>
      <c r="O22" s="144" t="n"/>
      <c r="P22" s="146" t="n"/>
      <c r="Q22" s="49" t="n"/>
      <c r="R22" s="144" t="n"/>
      <c r="S22" s="146" t="n"/>
    </row>
    <row r="23" ht="30.5" customFormat="1" customHeight="1" s="1">
      <c r="A23" s="143" t="inlineStr">
        <is>
          <t>Earlier Supplied</t>
        </is>
      </c>
      <c r="B23" s="144" t="n"/>
      <c r="C23" s="144" t="n"/>
      <c r="D23" s="145" t="n"/>
      <c r="E23" s="86" t="inlineStr">
        <is>
          <t>Yes</t>
        </is>
      </c>
      <c r="F23" s="144" t="n"/>
      <c r="G23" s="146" t="n"/>
      <c r="H23" s="49" t="inlineStr">
        <is>
          <t>Yes</t>
        </is>
      </c>
      <c r="I23" s="144" t="n"/>
      <c r="J23" s="146" t="n"/>
      <c r="K23" s="49" t="inlineStr">
        <is>
          <t>Yes</t>
        </is>
      </c>
      <c r="L23" s="144" t="n"/>
      <c r="M23" s="146" t="n"/>
      <c r="N23" s="49" t="n"/>
      <c r="O23" s="144" t="n"/>
      <c r="P23" s="146" t="n"/>
      <c r="Q23" s="49" t="n"/>
      <c r="R23" s="144" t="n"/>
      <c r="S23" s="146" t="n"/>
    </row>
    <row r="24" ht="30.5" customFormat="1" customHeight="1" s="2">
      <c r="A24" s="143" t="inlineStr">
        <is>
          <t>Delivery Timeline</t>
        </is>
      </c>
      <c r="B24" s="144" t="n"/>
      <c r="C24" s="144" t="n"/>
      <c r="D24" s="145" t="n"/>
      <c r="E24" s="86" t="inlineStr">
        <is>
          <t>Within 7 Days</t>
        </is>
      </c>
      <c r="F24" s="144" t="n"/>
      <c r="G24" s="146" t="n"/>
      <c r="H24" s="49" t="inlineStr">
        <is>
          <t>Within 7 Days</t>
        </is>
      </c>
      <c r="I24" s="144" t="n"/>
      <c r="J24" s="146" t="n"/>
      <c r="K24" s="49" t="inlineStr">
        <is>
          <t>Within 7 Days</t>
        </is>
      </c>
      <c r="L24" s="144" t="n"/>
      <c r="M24" s="146" t="n"/>
      <c r="N24" s="49" t="n"/>
      <c r="O24" s="144" t="n"/>
      <c r="P24" s="146" t="n"/>
      <c r="Q24" s="49" t="n"/>
      <c r="R24" s="144" t="n"/>
      <c r="S24" s="146" t="n"/>
    </row>
    <row r="25" ht="30.5" customFormat="1" customHeight="1" s="2">
      <c r="A25" s="147" t="inlineStr">
        <is>
          <t>Payment Terms</t>
        </is>
      </c>
      <c r="B25" s="109" t="n"/>
      <c r="C25" s="109" t="n"/>
      <c r="D25" s="148" t="n"/>
      <c r="E25" s="92" t="inlineStr">
        <is>
          <t>30 Days Credit</t>
        </is>
      </c>
      <c r="F25" s="109" t="n"/>
      <c r="G25" s="110" t="n"/>
      <c r="H25" s="93" t="inlineStr">
        <is>
          <t>30 Days Credit</t>
        </is>
      </c>
      <c r="I25" s="109" t="n"/>
      <c r="J25" s="110" t="n"/>
      <c r="K25" s="93" t="inlineStr">
        <is>
          <t>30 Days Credit</t>
        </is>
      </c>
      <c r="L25" s="109" t="n"/>
      <c r="M25" s="110" t="n"/>
      <c r="N25" s="93" t="n"/>
      <c r="O25" s="109" t="n"/>
      <c r="P25" s="110" t="n"/>
      <c r="Q25" s="93" t="n"/>
      <c r="R25" s="109" t="n"/>
      <c r="S25" s="110" t="n"/>
    </row>
    <row r="26" ht="30.5" customFormat="1" customHeight="1" s="2">
      <c r="A26" s="147" t="inlineStr">
        <is>
          <t xml:space="preserve">Price Validity </t>
        </is>
      </c>
      <c r="B26" s="109" t="n"/>
      <c r="C26" s="109" t="n"/>
      <c r="D26" s="148" t="n"/>
      <c r="E26" s="92" t="inlineStr">
        <is>
          <t>60 Days</t>
        </is>
      </c>
      <c r="F26" s="109" t="n"/>
      <c r="G26" s="110" t="n"/>
      <c r="H26" s="93" t="inlineStr">
        <is>
          <t>60 Days</t>
        </is>
      </c>
      <c r="I26" s="109" t="n"/>
      <c r="J26" s="110" t="n"/>
      <c r="K26" s="93" t="inlineStr">
        <is>
          <t>60 Days</t>
        </is>
      </c>
      <c r="L26" s="109" t="n"/>
      <c r="M26" s="110" t="n"/>
      <c r="N26" s="93" t="n"/>
      <c r="O26" s="109" t="n"/>
      <c r="P26" s="110" t="n"/>
      <c r="Q26" s="93" t="n"/>
      <c r="R26" s="109" t="n"/>
      <c r="S26" s="110" t="n"/>
    </row>
    <row r="27" ht="30.5" customFormat="1" customHeight="1" s="2">
      <c r="A27" s="149" t="inlineStr">
        <is>
          <t>Remark</t>
        </is>
      </c>
      <c r="B27" s="150" t="n"/>
      <c r="C27" s="150" t="n"/>
      <c r="D27" s="151" t="n"/>
      <c r="E27" s="98" t="n"/>
      <c r="F27" s="150" t="n"/>
      <c r="G27" s="152" t="n"/>
      <c r="H27" s="99" t="n"/>
      <c r="I27" s="150" t="n"/>
      <c r="J27" s="152" t="n"/>
      <c r="K27" s="99" t="n"/>
      <c r="L27" s="150" t="n"/>
      <c r="M27" s="152" t="n"/>
      <c r="N27" s="99" t="n"/>
      <c r="O27" s="150" t="n"/>
      <c r="P27" s="152" t="n"/>
      <c r="Q27" s="99" t="n"/>
      <c r="R27" s="150" t="n"/>
      <c r="S27" s="152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A13:D13"/>
    <mergeCell ref="Q15:S15"/>
    <mergeCell ref="N19:P19"/>
    <mergeCell ref="H22:J22"/>
    <mergeCell ref="K27:M27"/>
    <mergeCell ref="H19:J19"/>
    <mergeCell ref="A15:D15"/>
    <mergeCell ref="E26:G26"/>
    <mergeCell ref="A24:D24"/>
    <mergeCell ref="K17:M17"/>
    <mergeCell ref="E16:G16"/>
    <mergeCell ref="H5:J5"/>
    <mergeCell ref="A1:S1"/>
    <mergeCell ref="E18:G18"/>
    <mergeCell ref="A16:D16"/>
    <mergeCell ref="N4:P4"/>
    <mergeCell ref="Q25:S25"/>
    <mergeCell ref="K16:M16"/>
    <mergeCell ref="K25:M25"/>
    <mergeCell ref="A27:D27"/>
    <mergeCell ref="K5:M5"/>
    <mergeCell ref="K20:M20"/>
    <mergeCell ref="E20:G20"/>
    <mergeCell ref="H21:J21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K14:M14"/>
    <mergeCell ref="H27:J27"/>
    <mergeCell ref="K23:M23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A26:D26"/>
    <mergeCell ref="E17:G17"/>
    <mergeCell ref="N12:P12"/>
    <mergeCell ref="N21:P21"/>
    <mergeCell ref="E19:G19"/>
    <mergeCell ref="N14:P14"/>
    <mergeCell ref="N23:P23"/>
    <mergeCell ref="Q27:S27"/>
    <mergeCell ref="H13:J13"/>
    <mergeCell ref="Q17:S17"/>
    <mergeCell ref="H15:J15"/>
    <mergeCell ref="H24:J24"/>
    <mergeCell ref="E22:G22"/>
    <mergeCell ref="H18:J18"/>
    <mergeCell ref="K13:M13"/>
    <mergeCell ref="N27:P27"/>
    <mergeCell ref="E12:G12"/>
    <mergeCell ref="E21:G21"/>
    <mergeCell ref="H26:J26"/>
    <mergeCell ref="Q12:S12"/>
    <mergeCell ref="C4:C6"/>
    <mergeCell ref="K15:M15"/>
    <mergeCell ref="Q21:S21"/>
    <mergeCell ref="K24:M24"/>
    <mergeCell ref="N25:P25"/>
    <mergeCell ref="E14:G14"/>
    <mergeCell ref="A12:D12"/>
    <mergeCell ref="E23:G23"/>
    <mergeCell ref="A21:D21"/>
    <mergeCell ref="K21:M21"/>
    <mergeCell ref="E4:G4"/>
    <mergeCell ref="K26:M26"/>
    <mergeCell ref="A14:D14"/>
    <mergeCell ref="A23:D23"/>
    <mergeCell ref="M3:S3"/>
    <mergeCell ref="N5:P5"/>
    <mergeCell ref="Q26:S26"/>
    <mergeCell ref="B4:B6"/>
    <mergeCell ref="E27:G27"/>
    <mergeCell ref="N13:P13"/>
    <mergeCell ref="H12:J12"/>
    <mergeCell ref="E25:G25"/>
    <mergeCell ref="B3:K3"/>
    <mergeCell ref="N15:P15"/>
    <mergeCell ref="K19:M19"/>
    <mergeCell ref="N24:P24"/>
    <mergeCell ref="H14:J14"/>
    <mergeCell ref="H23:J23"/>
    <mergeCell ref="A25:D25"/>
    <mergeCell ref="B2:K2"/>
    <mergeCell ref="N26:P26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2026-10-27T07:27:31Z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
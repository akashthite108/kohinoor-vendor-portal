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COMP-20261017-104235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inlineStr">
        <is>
          <t>Kohinoor West View</t>
        </is>
      </c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2026-10-17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inlineStr">
        <is>
          <t>Tower A - Phase 2</t>
        </is>
      </c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Aakash Thite Infra</t>
        </is>
      </c>
      <c r="G4" s="109" t="n"/>
      <c r="H4" s="25" t="inlineStr">
        <is>
          <t>Ram Infra Solutions</t>
        </is>
      </c>
      <c r="J4" s="109" t="n"/>
      <c r="K4" s="27" t="inlineStr">
        <is>
          <t>Sky Solnu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Varmora</t>
        </is>
      </c>
      <c r="F5" s="114" t="n"/>
      <c r="G5" s="115" t="n"/>
      <c r="H5" s="34" t="inlineStr">
        <is>
          <t>Simpola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>
        <v>234</v>
      </c>
      <c r="G7" s="121">
        <f>IF(F7&gt;0,C7*F7,IF(E7&gt;0,C7*E7,0))</f>
        <v/>
      </c>
      <c r="H7" s="121" t="n">
        <v>234</v>
      </c>
      <c r="I7" s="121" t="n">
        <v>4</v>
      </c>
      <c r="J7" s="121">
        <f>IF(I7&gt;0,C7*I7,IF(H7&gt;0,C7*H7,0))</f>
        <v/>
      </c>
      <c r="K7" s="121" t="n">
        <v>36</v>
      </c>
      <c r="L7" s="121" t="n">
        <v>36</v>
      </c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678</v>
      </c>
      <c r="F8" s="124" t="n">
        <v>678</v>
      </c>
      <c r="G8" s="124">
        <f>IF(F8&gt;0,C8*F8,IF(E8&gt;0,C8*E8,0))</f>
        <v/>
      </c>
      <c r="H8" s="124" t="n">
        <v>345</v>
      </c>
      <c r="I8" s="124" t="n">
        <v>345</v>
      </c>
      <c r="J8" s="124">
        <f>IF(I8&gt;0,C8*I8,IF(H8&gt;0,C8*H8,0))</f>
        <v/>
      </c>
      <c r="K8" s="124" t="n">
        <v>55</v>
      </c>
      <c r="L8" s="124" t="n">
        <v>55</v>
      </c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inlineStr">
        <is>
          <t>Tiles adhesive</t>
        </is>
      </c>
      <c r="C9" s="53" t="n">
        <v>1</v>
      </c>
      <c r="D9" s="53" t="inlineStr">
        <is>
          <t>Nos</t>
        </is>
      </c>
      <c r="E9" s="126" t="n">
        <v>2345</v>
      </c>
      <c r="F9" s="127" t="n">
        <v>2345</v>
      </c>
      <c r="G9" s="127">
        <f>IF(F9&gt;0,C9*F9,IF(E9&gt;0,C9*E9,0))</f>
        <v/>
      </c>
      <c r="H9" s="127" t="n">
        <v>23</v>
      </c>
      <c r="I9" s="127" t="n">
        <v>23</v>
      </c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3500</t>
        </is>
      </c>
      <c r="F11" s="103" t="n"/>
      <c r="G11" s="104" t="n"/>
      <c r="H11" s="43" t="inlineStr">
        <is>
          <t>2000</t>
        </is>
      </c>
      <c r="I11" s="103" t="n"/>
      <c r="J11" s="104" t="n"/>
      <c r="K11" s="89" t="inlineStr">
        <is>
          <t>300</t>
        </is>
      </c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Yes</t>
        </is>
      </c>
      <c r="I14" s="148" t="n"/>
      <c r="J14" s="150" t="n"/>
      <c r="K14" s="48" t="inlineStr">
        <is>
          <t>Yes</t>
        </is>
      </c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inlineStr">
        <is>
          <t>Included</t>
        </is>
      </c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inlineStr">
        <is>
          <t>Not Applicable</t>
        </is>
      </c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NA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inlineStr">
        <is>
          <t>Included</t>
        </is>
      </c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inlineStr">
        <is>
          <t>Included</t>
        </is>
      </c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inlineStr">
        <is>
          <t>1 Year Standard</t>
        </is>
      </c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inlineStr">
        <is>
          <t>1 Year Standard</t>
        </is>
      </c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Yes</t>
        </is>
      </c>
      <c r="I21" s="148" t="n"/>
      <c r="J21" s="150" t="n"/>
      <c r="K21" s="48" t="inlineStr">
        <is>
          <t>Yes</t>
        </is>
      </c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inlineStr">
        <is>
          <t>60 Days</t>
        </is>
      </c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2026-10-17T05:12:36Z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
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-1010407]dddd\,\ dd\.\ mmmm\ yyyy;@"/>
    <numFmt numFmtId="165" formatCode="&quot;₹&quot;#,##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26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1"/>
    </font>
    <font>
      <name val="Microsoft YaHei"/>
      <charset val="134"/>
      <b val="1"/>
      <color rgb="FF000000"/>
      <sz val="18"/>
    </font>
    <font>
      <name val="Microsoft YaHei"/>
      <charset val="134"/>
      <b val="1"/>
      <color rgb="FF1F4E79"/>
      <sz val="11"/>
    </font>
    <font>
      <name val="Microsoft YaHei"/>
      <charset val="134"/>
      <b val="1"/>
      <color rgb="FF000000"/>
      <sz val="11"/>
    </font>
    <font>
      <name val="Microsoft YaHei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91AADF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B5C6EA"/>
        <bgColor rgb="FF1F4E79"/>
      </patternFill>
    </fill>
    <fill>
      <patternFill patternType="solid">
        <fgColor rgb="FFB5C6EA"/>
        <bgColor indexed="64"/>
      </patternFill>
    </fill>
    <fill>
      <patternFill patternType="solid">
        <fgColor rgb="FFF4B7BE"/>
        <bgColor rgb="FF2F5597"/>
      </patternFill>
    </fill>
    <fill>
      <patternFill patternType="solid">
        <fgColor rgb="FF00B0F0"/>
        <bgColor rgb="FF2F5597"/>
      </patternFill>
    </fill>
    <fill>
      <patternFill patternType="solid">
        <fgColor rgb="FFFEDB61"/>
        <bgColor rgb="FFD9E1F2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rgb="FFD9D9D9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6" fillId="0" borderId="0"/>
    <xf numFmtId="166" fontId="6" fillId="0" borderId="0" applyAlignment="1">
      <alignment vertical="center"/>
    </xf>
    <xf numFmtId="167" fontId="6" fillId="0" borderId="0" applyAlignment="1">
      <alignment vertical="center"/>
    </xf>
    <xf numFmtId="9" fontId="6" fillId="0" borderId="0" applyAlignment="1">
      <alignment vertical="center"/>
    </xf>
    <xf numFmtId="168" fontId="6" fillId="0" borderId="0" applyAlignment="1">
      <alignment vertical="center"/>
    </xf>
    <xf numFmtId="169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11" borderId="6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3" applyAlignment="1">
      <alignment vertical="center"/>
    </xf>
    <xf numFmtId="0" fontId="13" fillId="0" borderId="63" applyAlignment="1">
      <alignment vertical="center"/>
    </xf>
    <xf numFmtId="0" fontId="14" fillId="0" borderId="64" applyAlignment="1">
      <alignment vertical="center"/>
    </xf>
    <xf numFmtId="0" fontId="14" fillId="0" borderId="0" applyAlignment="1">
      <alignment vertical="center"/>
    </xf>
    <xf numFmtId="0" fontId="15" fillId="12" borderId="65" applyAlignment="1">
      <alignment vertical="center"/>
    </xf>
    <xf numFmtId="0" fontId="16" fillId="13" borderId="66" applyAlignment="1">
      <alignment vertical="center"/>
    </xf>
    <xf numFmtId="0" fontId="17" fillId="13" borderId="65" applyAlignment="1">
      <alignment vertical="center"/>
    </xf>
    <xf numFmtId="0" fontId="18" fillId="14" borderId="67" applyAlignment="1">
      <alignment vertical="center"/>
    </xf>
    <xf numFmtId="0" fontId="19" fillId="0" borderId="68" applyAlignment="1">
      <alignment vertical="center"/>
    </xf>
    <xf numFmtId="0" fontId="20" fillId="0" borderId="69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40" borderId="0" applyAlignment="1">
      <alignment vertical="center"/>
    </xf>
    <xf numFmtId="0" fontId="24" fillId="41" borderId="0" applyAlignment="1">
      <alignment vertical="center"/>
    </xf>
  </cellStyleXfs>
  <cellXfs count="15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left" vertical="center" wrapText="1"/>
    </xf>
    <xf numFmtId="164" fontId="4" fillId="3" borderId="8" applyAlignment="1" pivotButton="0" quotePrefix="0" xfId="0">
      <alignment horizontal="center" vertical="center" wrapText="1"/>
    </xf>
    <xf numFmtId="164" fontId="4" fillId="3" borderId="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left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5" fillId="4" borderId="18" applyAlignment="1" pivotButton="0" quotePrefix="0" xfId="0">
      <alignment horizontal="center" vertical="center" wrapText="1"/>
    </xf>
    <xf numFmtId="0" fontId="5" fillId="4" borderId="19" applyAlignment="1" pivotButton="0" quotePrefix="0" xfId="0">
      <alignment horizontal="center" vertical="center" wrapText="1"/>
    </xf>
    <xf numFmtId="0" fontId="5" fillId="5" borderId="20" applyAlignment="1" pivotButton="0" quotePrefix="0" xfId="0">
      <alignment horizontal="center" vertical="center" wrapText="1"/>
    </xf>
    <xf numFmtId="0" fontId="5" fillId="4" borderId="21" applyAlignment="1" pivotButton="0" quotePrefix="0" xfId="0">
      <alignment horizontal="center" vertical="center" wrapText="1"/>
    </xf>
    <xf numFmtId="0" fontId="5" fillId="5" borderId="22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 wrapText="1"/>
    </xf>
    <xf numFmtId="0" fontId="5" fillId="5" borderId="24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 wrapText="1"/>
    </xf>
    <xf numFmtId="0" fontId="5" fillId="5" borderId="17" applyAlignment="1" pivotButton="0" quotePrefix="0" xfId="0">
      <alignment horizontal="center" vertical="center" wrapText="1"/>
    </xf>
    <xf numFmtId="0" fontId="5" fillId="6" borderId="27" applyAlignment="1" pivotButton="0" quotePrefix="0" xfId="0">
      <alignment horizontal="center" vertical="center" wrapText="1"/>
    </xf>
    <xf numFmtId="0" fontId="5" fillId="6" borderId="28" applyAlignment="1" pivotButton="0" quotePrefix="0" xfId="0">
      <alignment horizontal="center" vertical="center" wrapText="1"/>
    </xf>
    <xf numFmtId="0" fontId="5" fillId="6" borderId="29" applyAlignment="1" pivotButton="0" quotePrefix="0" xfId="0">
      <alignment horizontal="center" vertical="center" wrapText="1"/>
    </xf>
    <xf numFmtId="0" fontId="5" fillId="6" borderId="30" applyAlignment="1" pivotButton="0" quotePrefix="0" xfId="0">
      <alignment horizontal="center" vertical="center" wrapText="1"/>
    </xf>
    <xf numFmtId="0" fontId="5" fillId="5" borderId="31" applyAlignment="1" pivotButton="0" quotePrefix="0" xfId="0">
      <alignment horizontal="center" vertical="center" wrapText="1"/>
    </xf>
    <xf numFmtId="0" fontId="5" fillId="4" borderId="31" applyAlignment="1" pivotButton="0" quotePrefix="0" xfId="0">
      <alignment horizontal="center" vertical="center" wrapText="1"/>
    </xf>
    <xf numFmtId="0" fontId="5" fillId="4" borderId="32" applyAlignment="1" pivotButton="0" quotePrefix="0" xfId="0">
      <alignment horizontal="center" vertical="center" wrapText="1"/>
    </xf>
    <xf numFmtId="0" fontId="5" fillId="7" borderId="33" applyAlignment="1" pivotButton="0" quotePrefix="0" xfId="0">
      <alignment horizontal="center" vertical="center" wrapText="1"/>
    </xf>
    <xf numFmtId="0" fontId="5" fillId="7" borderId="34" applyAlignment="1" pivotButton="0" quotePrefix="0" xfId="0">
      <alignment horizontal="center" vertical="center" wrapText="1"/>
    </xf>
    <xf numFmtId="0" fontId="5" fillId="7" borderId="3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165" fontId="4" fillId="0" borderId="46" applyAlignment="1" pivotButton="0" quotePrefix="0" xfId="0">
      <alignment horizontal="center" vertical="center" wrapText="1"/>
    </xf>
    <xf numFmtId="165" fontId="4" fillId="0" borderId="45" applyAlignment="1" pivotButton="0" quotePrefix="0" xfId="0">
      <alignment horizontal="center" vertical="center" wrapText="1"/>
    </xf>
    <xf numFmtId="165" fontId="4" fillId="9" borderId="47" applyAlignment="1" pivotButton="0" quotePrefix="0" xfId="0">
      <alignment horizontal="center" vertical="center" wrapText="1"/>
    </xf>
    <xf numFmtId="165" fontId="4" fillId="0" borderId="48" applyAlignment="1" pivotButton="0" quotePrefix="0" xfId="0">
      <alignment horizontal="center" vertical="center" wrapText="1"/>
    </xf>
    <xf numFmtId="0" fontId="4" fillId="0" borderId="49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165" fontId="4" fillId="0" borderId="54" applyAlignment="1" pivotButton="0" quotePrefix="0" xfId="0">
      <alignment horizontal="center" vertical="center" wrapText="1"/>
    </xf>
    <xf numFmtId="165" fontId="4" fillId="0" borderId="55" applyAlignment="1" pivotButton="0" quotePrefix="0" xfId="0">
      <alignment horizontal="center" vertical="center" wrapText="1"/>
    </xf>
    <xf numFmtId="165" fontId="4" fillId="0" borderId="53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 wrapText="1"/>
    </xf>
    <xf numFmtId="165" fontId="3" fillId="9" borderId="2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56" applyAlignment="1" pivotButton="0" quotePrefix="0" xfId="0">
      <alignment horizontal="center" vertical="center" wrapText="1"/>
    </xf>
    <xf numFmtId="165" fontId="3" fillId="9" borderId="3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4" fillId="0" borderId="59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6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5" borderId="60" applyAlignment="1" pivotButton="0" quotePrefix="0" xfId="0">
      <alignment horizontal="center" vertical="center" wrapText="1"/>
    </xf>
    <xf numFmtId="0" fontId="4" fillId="5" borderId="12" applyAlignment="1" pivotButton="0" quotePrefix="0" xfId="0">
      <alignment horizontal="center" vertical="center" wrapText="1"/>
    </xf>
    <xf numFmtId="0" fontId="4" fillId="5" borderId="61" applyAlignment="1" pivotButton="0" quotePrefix="0" xfId="0">
      <alignment horizontal="center" vertical="center" wrapText="1"/>
    </xf>
    <xf numFmtId="0" fontId="2" fillId="2" borderId="7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4" fillId="3" borderId="8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17" pivotButton="0" quotePrefix="0" xfId="0"/>
    <xf numFmtId="0" fontId="0" fillId="0" borderId="18" pivotButton="0" quotePrefix="0" xfId="0"/>
    <xf numFmtId="0" fontId="5" fillId="6" borderId="33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16" pivotButton="0" quotePrefix="0" xfId="0"/>
    <xf numFmtId="0" fontId="0" fillId="0" borderId="31" pivotButton="0" quotePrefix="0" xfId="0"/>
    <xf numFmtId="0" fontId="0" fillId="0" borderId="32" pivotButton="0" quotePrefix="0" xfId="0"/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70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5" pivotButton="0" quotePrefix="0" xfId="0"/>
    <xf numFmtId="165" fontId="4" fillId="9" borderId="47" applyAlignment="1" pivotButton="0" quotePrefix="0" xfId="0">
      <alignment horizontal="center" vertical="center" wrapText="1"/>
    </xf>
    <xf numFmtId="0" fontId="4" fillId="0" borderId="71" applyAlignment="1" pivotButton="0" quotePrefix="0" xfId="0">
      <alignment horizontal="center" vertical="center" wrapText="1"/>
    </xf>
    <xf numFmtId="0" fontId="0" fillId="0" borderId="50" pivotButton="0" quotePrefix="0" xfId="0"/>
    <xf numFmtId="0" fontId="4" fillId="0" borderId="73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53" pivotButton="0" quotePrefix="0" xfId="0"/>
    <xf numFmtId="165" fontId="4" fillId="0" borderId="54" applyAlignment="1" pivotButton="0" quotePrefix="0" xfId="0">
      <alignment horizontal="center" vertical="center" wrapText="1"/>
    </xf>
    <xf numFmtId="0" fontId="0" fillId="0" borderId="54" pivotButton="0" quotePrefix="0" xfId="0"/>
    <xf numFmtId="165" fontId="4" fillId="0" borderId="44" applyAlignment="1" pivotButton="0" quotePrefix="0" xfId="0">
      <alignment horizontal="center" vertical="center" wrapText="1"/>
    </xf>
    <xf numFmtId="165" fontId="4" fillId="0" borderId="74" applyAlignment="1" pivotButton="0" quotePrefix="0" xfId="0">
      <alignment horizontal="center" vertical="center" wrapText="1"/>
    </xf>
    <xf numFmtId="0" fontId="4" fillId="10" borderId="70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24" applyAlignment="1" pivotButton="0" quotePrefix="0" xfId="0">
      <alignment horizontal="center" vertical="center" wrapText="1"/>
    </xf>
    <xf numFmtId="165" fontId="3" fillId="9" borderId="25" applyAlignment="1" pivotButton="0" quotePrefix="0" xfId="0">
      <alignment horizontal="center" vertical="center" wrapText="1"/>
    </xf>
    <xf numFmtId="0" fontId="4" fillId="0" borderId="75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0" fontId="0" fillId="0" borderId="41" pivotButton="0" quotePrefix="0" xfId="0"/>
    <xf numFmtId="0" fontId="4" fillId="0" borderId="76" applyAlignment="1" pivotButton="0" quotePrefix="0" xfId="0">
      <alignment horizontal="center" vertical="center" wrapText="1"/>
    </xf>
    <xf numFmtId="0" fontId="0" fillId="0" borderId="61" pivotButton="0" quotePrefix="0" xfId="0"/>
    <xf numFmtId="0" fontId="4" fillId="5" borderId="76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A1" sqref="$A1:$XFD1048576"/>
    </sheetView>
  </sheetViews>
  <sheetFormatPr baseColWidth="8" defaultColWidth="9" defaultRowHeight="15"/>
  <cols>
    <col width="15.2" customWidth="1" style="1" min="1" max="1"/>
    <col width="25.4285714285714" customWidth="1" style="1" min="2" max="2"/>
    <col width="10.1428571428571" customWidth="1" style="1" min="3" max="3"/>
    <col width="12.2857142857143" customWidth="1" style="1" min="4" max="4"/>
    <col width="15.5809523809524" customWidth="1" style="1" min="5" max="11"/>
    <col width="20.152380952381" customWidth="1" style="1" min="12" max="12"/>
    <col width="15.5809523809524" customWidth="1" style="1" min="13" max="19"/>
    <col width="9" customWidth="1" style="1" min="20" max="16384"/>
  </cols>
  <sheetData>
    <row r="1" ht="38.75" customFormat="1" customHeight="1" s="1">
      <c r="A1" s="99" t="inlineStr">
        <is>
          <t>COMPARATIVE STATEMENT</t>
        </is>
      </c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1" t="n"/>
    </row>
    <row r="2" ht="30.5" customFormat="1" customHeight="1" s="1">
      <c r="A2" s="6" t="inlineStr">
        <is>
          <t>Project :</t>
        </is>
      </c>
      <c r="B2" s="102" t="n"/>
      <c r="C2" s="103" t="n"/>
      <c r="D2" s="103" t="n"/>
      <c r="E2" s="103" t="n"/>
      <c r="F2" s="103" t="n"/>
      <c r="G2" s="103" t="n"/>
      <c r="H2" s="103" t="n"/>
      <c r="I2" s="103" t="n"/>
      <c r="J2" s="103" t="n"/>
      <c r="K2" s="104" t="n"/>
      <c r="L2" s="10" t="inlineStr">
        <is>
          <t>2026-10-13</t>
        </is>
      </c>
      <c r="M2" s="105" t="n"/>
      <c r="N2" s="103" t="n"/>
      <c r="O2" s="103" t="n"/>
      <c r="P2" s="103" t="n"/>
      <c r="Q2" s="103" t="n"/>
      <c r="R2" s="103" t="n"/>
      <c r="S2" s="104" t="n"/>
    </row>
    <row r="3" ht="30.5" customFormat="1" customHeight="1" s="1">
      <c r="A3" s="13" t="inlineStr">
        <is>
          <t>Tower :</t>
        </is>
      </c>
      <c r="B3" s="106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8" t="n"/>
      <c r="L3" s="17" t="inlineStr">
        <is>
          <t>Purchase Dept (Automated)</t>
        </is>
      </c>
      <c r="M3" s="18" t="n"/>
      <c r="N3" s="107" t="n"/>
      <c r="O3" s="107" t="n"/>
      <c r="P3" s="107" t="n"/>
      <c r="Q3" s="107" t="n"/>
      <c r="R3" s="107" t="n"/>
      <c r="S3" s="108" t="n"/>
    </row>
    <row r="4" ht="31.25" customFormat="1" customHeight="1" s="1">
      <c r="A4" s="20" t="inlineStr">
        <is>
          <t>Sr.No</t>
        </is>
      </c>
      <c r="B4" s="37" t="inlineStr">
        <is>
          <t xml:space="preserve"> Material Description</t>
        </is>
      </c>
      <c r="C4" s="37" t="inlineStr">
        <is>
          <t>Qty</t>
        </is>
      </c>
      <c r="D4" s="38" t="inlineStr">
        <is>
          <t>Unit</t>
        </is>
      </c>
      <c r="E4" s="23" t="inlineStr">
        <is>
          <t xml:space="preserve">Aryaman Infra </t>
        </is>
      </c>
      <c r="G4" s="109" t="n"/>
      <c r="H4" s="25" t="inlineStr">
        <is>
          <t>Arya Infra</t>
        </is>
      </c>
      <c r="J4" s="109" t="n"/>
      <c r="K4" s="27" t="inlineStr">
        <is>
          <t xml:space="preserve">Kohinoor </t>
        </is>
      </c>
      <c r="L4" s="100" t="n"/>
      <c r="M4" s="110" t="n"/>
      <c r="N4" s="30" t="inlineStr">
        <is>
          <t xml:space="preserve">Mayur architech </t>
        </is>
      </c>
      <c r="O4" s="100" t="n"/>
      <c r="P4" s="110" t="n"/>
      <c r="Q4" s="30" t="inlineStr">
        <is>
          <t>Pravati Infra</t>
        </is>
      </c>
      <c r="R4" s="100" t="n"/>
      <c r="S4" s="110" t="n"/>
    </row>
    <row r="5" ht="31.25" customFormat="1" customHeight="1" s="1">
      <c r="A5" s="111" t="n"/>
      <c r="B5" s="111" t="n"/>
      <c r="C5" s="111" t="n"/>
      <c r="D5" s="112" t="n"/>
      <c r="E5" s="113" t="inlineStr">
        <is>
          <t>Roff</t>
        </is>
      </c>
      <c r="F5" s="114" t="n"/>
      <c r="G5" s="115" t="n"/>
      <c r="H5" s="34" t="inlineStr">
        <is>
          <t>Roff</t>
        </is>
      </c>
      <c r="I5" s="114" t="n"/>
      <c r="J5" s="115" t="n"/>
      <c r="K5" s="35" t="inlineStr">
        <is>
          <t>Roff</t>
        </is>
      </c>
      <c r="L5" s="114" t="n"/>
      <c r="M5" s="116" t="n"/>
      <c r="N5" s="35" t="inlineStr">
        <is>
          <t>Roff</t>
        </is>
      </c>
      <c r="O5" s="114" t="n"/>
      <c r="P5" s="116" t="n"/>
      <c r="Q5" s="35" t="inlineStr">
        <is>
          <t>Roff</t>
        </is>
      </c>
      <c r="R5" s="114" t="n"/>
      <c r="S5" s="116" t="n"/>
    </row>
    <row r="6" ht="37" customFormat="1" customHeight="1" s="1">
      <c r="A6" s="117" t="n"/>
      <c r="B6" s="118" t="n"/>
      <c r="C6" s="118" t="n"/>
      <c r="D6" s="119" t="n"/>
      <c r="E6" s="39" t="inlineStr">
        <is>
          <t>Rate R0</t>
        </is>
      </c>
      <c r="F6" s="40" t="inlineStr">
        <is>
          <t>Rate R1</t>
        </is>
      </c>
      <c r="G6" s="40" t="inlineStr">
        <is>
          <t>Amount</t>
        </is>
      </c>
      <c r="H6" s="40" t="inlineStr">
        <is>
          <t>Rate R0</t>
        </is>
      </c>
      <c r="I6" s="40" t="inlineStr">
        <is>
          <t>Rate R1</t>
        </is>
      </c>
      <c r="J6" s="40" t="inlineStr">
        <is>
          <t>Amount</t>
        </is>
      </c>
      <c r="K6" s="40" t="inlineStr">
        <is>
          <t>Rate R0</t>
        </is>
      </c>
      <c r="L6" s="40" t="inlineStr">
        <is>
          <t>Rate R1</t>
        </is>
      </c>
      <c r="M6" s="41" t="inlineStr">
        <is>
          <t>Amount</t>
        </is>
      </c>
      <c r="N6" s="40" t="inlineStr">
        <is>
          <t>Rate R0</t>
        </is>
      </c>
      <c r="O6" s="40" t="inlineStr">
        <is>
          <t>Rate R1</t>
        </is>
      </c>
      <c r="P6" s="41" t="inlineStr">
        <is>
          <t>Amount</t>
        </is>
      </c>
      <c r="Q6" s="40" t="inlineStr">
        <is>
          <t>Rate R0</t>
        </is>
      </c>
      <c r="R6" s="40" t="inlineStr">
        <is>
          <t>Rate R1</t>
        </is>
      </c>
      <c r="S6" s="41" t="inlineStr">
        <is>
          <t>Amount</t>
        </is>
      </c>
    </row>
    <row r="7" ht="30.5" customFormat="1" customHeight="1" s="1">
      <c r="A7" s="42" t="n">
        <v>1</v>
      </c>
      <c r="B7" s="43" t="inlineStr">
        <is>
          <t>AAC Blocks (600x200x150mm)</t>
        </is>
      </c>
      <c r="C7" s="43" t="n">
        <v>500</v>
      </c>
      <c r="D7" s="43" t="inlineStr">
        <is>
          <t>Nos</t>
        </is>
      </c>
      <c r="E7" s="120" t="n">
        <v>345</v>
      </c>
      <c r="F7" s="121" t="n"/>
      <c r="G7" s="121">
        <f>IF(F7&gt;0,C7*F7,IF(E7&gt;0,C7*E7,0))</f>
        <v/>
      </c>
      <c r="H7" s="121" t="n">
        <v>234</v>
      </c>
      <c r="I7" s="121" t="n"/>
      <c r="J7" s="121">
        <f>IF(I7&gt;0,C7*I7,IF(H7&gt;0,C7*H7,0))</f>
        <v/>
      </c>
      <c r="K7" s="121" t="n">
        <v>356</v>
      </c>
      <c r="L7" s="121" t="n"/>
      <c r="M7" s="122">
        <f>IF(L7&gt;0,C7*L7,IF(K7&gt;0,C7*K7,0))</f>
        <v/>
      </c>
      <c r="N7" s="121" t="n">
        <v>1005</v>
      </c>
      <c r="O7" s="121" t="n"/>
      <c r="P7" s="122">
        <f>IF(O7&gt;0,C7*O7,IF(N7&gt;0,C7*N7,0))</f>
        <v/>
      </c>
      <c r="Q7" s="121" t="n">
        <v>345</v>
      </c>
      <c r="R7" s="121" t="n"/>
      <c r="S7" s="122">
        <f>IF(R7&gt;0,C7*R7,IF(Q7&gt;0,C7*Q7,0))</f>
        <v/>
      </c>
    </row>
    <row r="8" ht="30.5" customFormat="1" customHeight="1" s="1">
      <c r="A8" s="47" t="n">
        <v>2</v>
      </c>
      <c r="B8" s="48" t="inlineStr">
        <is>
          <t>Polymer Modified Tile Adhesive (25kg bag)</t>
        </is>
      </c>
      <c r="C8" s="48" t="n">
        <v>200</v>
      </c>
      <c r="D8" s="48" t="inlineStr">
        <is>
          <t>Bags</t>
        </is>
      </c>
      <c r="E8" s="123" t="n">
        <v>346</v>
      </c>
      <c r="F8" s="124" t="n"/>
      <c r="G8" s="124">
        <f>IF(F8&gt;0,C8*F8,IF(E8&gt;0,C8*E8,0))</f>
        <v/>
      </c>
      <c r="H8" s="124" t="n">
        <v>234.98</v>
      </c>
      <c r="I8" s="124" t="n"/>
      <c r="J8" s="124">
        <f>IF(I8&gt;0,C8*I8,IF(H8&gt;0,C8*H8,0))</f>
        <v/>
      </c>
      <c r="K8" s="124" t="n">
        <v>419.94</v>
      </c>
      <c r="L8" s="124" t="n"/>
      <c r="M8" s="125">
        <f>IF(L8&gt;0,C8*L8,IF(K8&gt;0,C8*K8,0))</f>
        <v/>
      </c>
      <c r="N8" s="124" t="n">
        <v>2345</v>
      </c>
      <c r="O8" s="124" t="n"/>
      <c r="P8" s="125">
        <f>IF(O8&gt;0,C8*O8,IF(N8&gt;0,C8*N8,0))</f>
        <v/>
      </c>
      <c r="Q8" s="124" t="n">
        <v>455.99</v>
      </c>
      <c r="R8" s="124" t="n"/>
      <c r="S8" s="122">
        <f>IF(R8&gt;0,C8*R8,IF(Q8&gt;0,C8*Q8,0))</f>
        <v/>
      </c>
    </row>
    <row r="9" ht="30.5" customFormat="1" customHeight="1" s="1">
      <c r="A9" s="52" t="n">
        <v>3</v>
      </c>
      <c r="B9" s="53" t="n"/>
      <c r="C9" s="53" t="n"/>
      <c r="D9" s="53" t="n"/>
      <c r="E9" s="126" t="n"/>
      <c r="F9" s="127" t="n"/>
      <c r="G9" s="127">
        <f>IF(F9&gt;0,C9*F9,IF(E9&gt;0,C9*E9,0))</f>
        <v/>
      </c>
      <c r="H9" s="127" t="n"/>
      <c r="I9" s="127" t="n"/>
      <c r="J9" s="127">
        <f>IF(I9&gt;0,C9*I9,IF(H9&gt;0,C9*H9,0))</f>
        <v/>
      </c>
      <c r="K9" s="127" t="n"/>
      <c r="L9" s="127" t="n"/>
      <c r="M9" s="128">
        <f>IF(L9&gt;0,C9*L9,IF(K9&gt;0,C9*K9,0))</f>
        <v/>
      </c>
      <c r="N9" s="127" t="n"/>
      <c r="O9" s="127" t="n"/>
      <c r="P9" s="128">
        <f>IF(O9&gt;0,C9*O9,IF(N9&gt;0,C9*N9,0))</f>
        <v/>
      </c>
      <c r="Q9" s="127" t="n"/>
      <c r="R9" s="127" t="n"/>
      <c r="S9" s="128">
        <f>IF(R9&gt;0,C9*R9,IF(Q9&gt;0,C9*Q9,0))</f>
        <v/>
      </c>
    </row>
    <row r="10" ht="30.5" customFormat="1" customHeight="1" s="1">
      <c r="A10" s="129" t="inlineStr">
        <is>
          <t>Basic Value</t>
        </is>
      </c>
      <c r="B10" s="100" t="n"/>
      <c r="C10" s="100" t="n"/>
      <c r="D10" s="101" t="n"/>
      <c r="E10" s="130">
        <f>SUM(G7:G9)</f>
        <v/>
      </c>
      <c r="F10" s="131" t="n"/>
      <c r="G10" s="132" t="n"/>
      <c r="H10" s="133">
        <f>SUM(J7:J9)</f>
        <v/>
      </c>
      <c r="I10" s="131" t="n"/>
      <c r="J10" s="132" t="n"/>
      <c r="K10" s="133">
        <f>SUM(M7:M9)</f>
        <v/>
      </c>
      <c r="L10" s="131" t="n"/>
      <c r="M10" s="132" t="n"/>
      <c r="N10" s="133">
        <f>SUM(P7:P9)</f>
        <v/>
      </c>
      <c r="O10" s="131" t="n"/>
      <c r="P10" s="132" t="n"/>
      <c r="Q10" s="133">
        <f>SUM(S7:S9)</f>
        <v/>
      </c>
      <c r="R10" s="131" t="n"/>
      <c r="S10" s="132" t="n"/>
    </row>
    <row r="11" ht="30.5" customFormat="1" customHeight="1" s="1">
      <c r="A11" s="134" t="inlineStr">
        <is>
          <t>Transport</t>
        </is>
      </c>
      <c r="B11" s="103" t="n"/>
      <c r="C11" s="103" t="n"/>
      <c r="D11" s="135" t="n"/>
      <c r="E11" s="68" t="inlineStr">
        <is>
          <t>No</t>
        </is>
      </c>
      <c r="F11" s="103" t="n"/>
      <c r="G11" s="104" t="n"/>
      <c r="H11" s="43" t="inlineStr">
        <is>
          <t>No</t>
        </is>
      </c>
      <c r="I11" s="103" t="n"/>
      <c r="J11" s="104" t="n"/>
      <c r="K11" s="89" t="inlineStr">
        <is>
          <t>3000</t>
        </is>
      </c>
      <c r="L11" s="103" t="n"/>
      <c r="M11" s="135" t="n"/>
      <c r="N11" s="89" t="inlineStr">
        <is>
          <t>No</t>
        </is>
      </c>
      <c r="O11" s="103" t="n"/>
      <c r="P11" s="135" t="n"/>
      <c r="Q11" s="89" t="inlineStr">
        <is>
          <t>No</t>
        </is>
      </c>
      <c r="R11" s="103" t="n"/>
      <c r="S11" s="135" t="n"/>
    </row>
    <row r="12" ht="30.5" customFormat="1" customHeight="1" s="1">
      <c r="A12" s="136" t="inlineStr">
        <is>
          <t>GST</t>
        </is>
      </c>
      <c r="B12" s="137" t="n"/>
      <c r="C12" s="137" t="n"/>
      <c r="D12" s="138" t="n"/>
      <c r="E12" s="139" t="inlineStr">
        <is>
          <t>18% GST</t>
        </is>
      </c>
      <c r="F12" s="137" t="n"/>
      <c r="G12" s="140" t="n"/>
      <c r="H12" s="141" t="inlineStr">
        <is>
          <t>18% GST</t>
        </is>
      </c>
      <c r="I12" s="137" t="n"/>
      <c r="J12" s="140" t="n"/>
      <c r="K12" s="142" t="inlineStr">
        <is>
          <t>18% GST</t>
        </is>
      </c>
      <c r="L12" s="137" t="n"/>
      <c r="M12" s="138" t="n"/>
      <c r="N12" s="142" t="inlineStr">
        <is>
          <t>18% GST</t>
        </is>
      </c>
      <c r="O12" s="137" t="n"/>
      <c r="P12" s="138" t="n"/>
      <c r="Q12" s="142" t="inlineStr">
        <is>
          <t>18% GST</t>
        </is>
      </c>
      <c r="R12" s="137" t="n"/>
      <c r="S12" s="138" t="n"/>
    </row>
    <row r="13" ht="30.5" customFormat="1" customHeight="1" s="1">
      <c r="A13" s="143" t="inlineStr">
        <is>
          <t>Final Value / Amount</t>
        </is>
      </c>
      <c r="B13" s="100" t="n"/>
      <c r="C13" s="100" t="n"/>
      <c r="D13" s="101" t="n"/>
      <c r="E13" s="144">
        <f>SUM(E10:G12)</f>
        <v/>
      </c>
      <c r="F13" s="100" t="n"/>
      <c r="G13" s="110" t="n"/>
      <c r="H13" s="145">
        <f>SUM(H10:J12)</f>
        <v/>
      </c>
      <c r="I13" s="100" t="n"/>
      <c r="J13" s="110" t="n"/>
      <c r="K13" s="146">
        <f>SUM(K10:M12)</f>
        <v/>
      </c>
      <c r="L13" s="100" t="n"/>
      <c r="M13" s="101" t="n"/>
      <c r="N13" s="146">
        <f>SUM(N10:P12)</f>
        <v/>
      </c>
      <c r="O13" s="100" t="n"/>
      <c r="P13" s="101" t="n"/>
      <c r="Q13" s="146">
        <f>SUM(Q10:S12)</f>
        <v/>
      </c>
      <c r="R13" s="100" t="n"/>
      <c r="S13" s="101" t="n"/>
    </row>
    <row r="14" ht="30.5" customFormat="1" customHeight="1" s="1">
      <c r="A14" s="147" t="inlineStr">
        <is>
          <t>Earlier Supplied</t>
        </is>
      </c>
      <c r="B14" s="148" t="n"/>
      <c r="C14" s="148" t="n"/>
      <c r="D14" s="149" t="n"/>
      <c r="E14" s="87" t="n"/>
      <c r="F14" s="148" t="n"/>
      <c r="G14" s="150" t="n"/>
      <c r="H14" s="48" t="n"/>
      <c r="I14" s="148" t="n"/>
      <c r="J14" s="150" t="n"/>
      <c r="K14" s="48" t="n"/>
      <c r="L14" s="148" t="n"/>
      <c r="M14" s="150" t="n"/>
      <c r="N14" s="48" t="n"/>
      <c r="O14" s="148" t="n"/>
      <c r="P14" s="150" t="n"/>
      <c r="Q14" s="48" t="n"/>
      <c r="R14" s="148" t="n"/>
      <c r="S14" s="150" t="n"/>
    </row>
    <row r="15" ht="30.5" customFormat="1" customHeight="1" s="1">
      <c r="A15" s="47" t="inlineStr">
        <is>
          <t>Loading</t>
        </is>
      </c>
      <c r="B15" s="148" t="n"/>
      <c r="C15" s="148" t="n"/>
      <c r="D15" s="150" t="n"/>
      <c r="E15" s="68" t="n"/>
      <c r="F15" s="103" t="n"/>
      <c r="G15" s="104" t="n"/>
      <c r="H15" s="68" t="n"/>
      <c r="I15" s="103" t="n"/>
      <c r="J15" s="104" t="n"/>
      <c r="K15" s="68" t="n"/>
      <c r="L15" s="103" t="n"/>
      <c r="M15" s="104" t="n"/>
      <c r="N15" s="68" t="n"/>
      <c r="O15" s="103" t="n"/>
      <c r="P15" s="104" t="n"/>
      <c r="Q15" s="68" t="n"/>
      <c r="R15" s="103" t="n"/>
      <c r="S15" s="104" t="n"/>
    </row>
    <row r="16" ht="30.5" customFormat="1" customHeight="1" s="1">
      <c r="A16" s="47" t="inlineStr">
        <is>
          <t>Insurance</t>
        </is>
      </c>
      <c r="B16" s="148" t="n"/>
      <c r="C16" s="148" t="n"/>
      <c r="D16" s="150" t="n"/>
      <c r="E16" s="68" t="inlineStr">
        <is>
          <t>30 Days Credit</t>
        </is>
      </c>
      <c r="F16" s="103" t="n"/>
      <c r="G16" s="104" t="n"/>
      <c r="H16" s="68" t="n"/>
      <c r="I16" s="103" t="n"/>
      <c r="J16" s="104" t="n"/>
      <c r="K16" s="68" t="n"/>
      <c r="L16" s="103" t="n"/>
      <c r="M16" s="104" t="n"/>
      <c r="N16" s="68" t="n"/>
      <c r="O16" s="103" t="n"/>
      <c r="P16" s="104" t="n"/>
      <c r="Q16" s="68" t="inlineStr">
        <is>
          <t>30 Days Credit</t>
        </is>
      </c>
      <c r="R16" s="103" t="n"/>
      <c r="S16" s="104" t="n"/>
    </row>
    <row r="17" ht="30.5" customFormat="1" customHeight="1" s="1">
      <c r="A17" s="134" t="inlineStr">
        <is>
          <t>Unloading</t>
        </is>
      </c>
      <c r="B17" s="103" t="n"/>
      <c r="C17" s="103" t="n"/>
      <c r="D17" s="135" t="n"/>
      <c r="E17" s="68" t="inlineStr">
        <is>
          <t>Within 7 Days</t>
        </is>
      </c>
      <c r="F17" s="103" t="n"/>
      <c r="G17" s="104" t="n"/>
      <c r="H17" s="68" t="n"/>
      <c r="I17" s="103" t="n"/>
      <c r="J17" s="104" t="n"/>
      <c r="K17" s="48" t="n"/>
      <c r="L17" s="148" t="n"/>
      <c r="M17" s="150" t="n"/>
      <c r="N17" s="48" t="n"/>
      <c r="O17" s="148" t="n"/>
      <c r="P17" s="150" t="n"/>
      <c r="Q17" s="48" t="inlineStr">
        <is>
          <t>Within 7 Days</t>
        </is>
      </c>
      <c r="R17" s="148" t="n"/>
      <c r="S17" s="150" t="n"/>
    </row>
    <row r="18" ht="30.5" customFormat="1" customHeight="1" s="1">
      <c r="A18" s="147" t="inlineStr">
        <is>
          <t>Erection / Commissioning / Installation</t>
        </is>
      </c>
      <c r="B18" s="148" t="n"/>
      <c r="C18" s="148" t="n"/>
      <c r="D18" s="149" t="n"/>
      <c r="E18" s="87" t="n"/>
      <c r="F18" s="148" t="n"/>
      <c r="G18" s="150" t="n"/>
      <c r="H18" s="48" t="n"/>
      <c r="I18" s="148" t="n"/>
      <c r="J18" s="150" t="n"/>
      <c r="K18" s="48" t="n"/>
      <c r="L18" s="148" t="n"/>
      <c r="M18" s="150" t="n"/>
      <c r="N18" s="48" t="n"/>
      <c r="O18" s="148" t="n"/>
      <c r="P18" s="150" t="n"/>
      <c r="Q18" s="48" t="n"/>
      <c r="R18" s="148" t="n"/>
      <c r="S18" s="150" t="n"/>
    </row>
    <row r="19" ht="30.5" customFormat="1" customHeight="1" s="1">
      <c r="A19" s="147" t="inlineStr">
        <is>
          <t>Warranty</t>
        </is>
      </c>
      <c r="B19" s="148" t="n"/>
      <c r="C19" s="148" t="n"/>
      <c r="D19" s="149" t="n"/>
      <c r="E19" s="87" t="n"/>
      <c r="F19" s="148" t="n"/>
      <c r="G19" s="150" t="n"/>
      <c r="H19" s="48" t="n"/>
      <c r="I19" s="148" t="n"/>
      <c r="J19" s="150" t="n"/>
      <c r="K19" s="48" t="n"/>
      <c r="L19" s="148" t="n"/>
      <c r="M19" s="150" t="n"/>
      <c r="N19" s="48" t="n"/>
      <c r="O19" s="148" t="n"/>
      <c r="P19" s="150" t="n"/>
      <c r="Q19" s="48" t="n"/>
      <c r="R19" s="148" t="n"/>
      <c r="S19" s="150" t="n"/>
    </row>
    <row r="20" ht="30.5" customFormat="1" customHeight="1" s="1">
      <c r="A20" s="147" t="inlineStr">
        <is>
          <t>Guarantee</t>
        </is>
      </c>
      <c r="B20" s="148" t="n"/>
      <c r="C20" s="148" t="n"/>
      <c r="D20" s="149" t="n"/>
      <c r="E20" s="87" t="n"/>
      <c r="F20" s="148" t="n"/>
      <c r="G20" s="150" t="n"/>
      <c r="H20" s="48" t="n"/>
      <c r="I20" s="148" t="n"/>
      <c r="J20" s="150" t="n"/>
      <c r="K20" s="48" t="n"/>
      <c r="L20" s="148" t="n"/>
      <c r="M20" s="150" t="n"/>
      <c r="N20" s="48" t="n"/>
      <c r="O20" s="148" t="n"/>
      <c r="P20" s="150" t="n"/>
      <c r="Q20" s="48" t="n"/>
      <c r="R20" s="148" t="n"/>
      <c r="S20" s="150" t="n"/>
    </row>
    <row r="21" ht="30.5" customFormat="1" customHeight="1" s="1">
      <c r="A21" s="147" t="inlineStr">
        <is>
          <t>Earlier Supplied</t>
        </is>
      </c>
      <c r="B21" s="148" t="n"/>
      <c r="C21" s="148" t="n"/>
      <c r="D21" s="149" t="n"/>
      <c r="E21" s="87" t="n"/>
      <c r="F21" s="148" t="n"/>
      <c r="G21" s="150" t="n"/>
      <c r="H21" s="48" t="n"/>
      <c r="I21" s="148" t="n"/>
      <c r="J21" s="150" t="n"/>
      <c r="K21" s="48" t="n"/>
      <c r="L21" s="148" t="n"/>
      <c r="M21" s="150" t="n"/>
      <c r="N21" s="48" t="n"/>
      <c r="O21" s="148" t="n"/>
      <c r="P21" s="150" t="n"/>
      <c r="Q21" s="48" t="n"/>
      <c r="R21" s="148" t="n"/>
      <c r="S21" s="150" t="n"/>
    </row>
    <row r="22" ht="30.5" customFormat="1" customHeight="1" s="2">
      <c r="A22" s="147" t="inlineStr">
        <is>
          <t>Delivery Timeline</t>
        </is>
      </c>
      <c r="B22" s="148" t="n"/>
      <c r="C22" s="148" t="n"/>
      <c r="D22" s="149" t="n"/>
      <c r="E22" s="87" t="n"/>
      <c r="F22" s="148" t="n"/>
      <c r="G22" s="150" t="n"/>
      <c r="H22" s="48" t="inlineStr">
        <is>
          <t>Within 7 Days</t>
        </is>
      </c>
      <c r="I22" s="148" t="n"/>
      <c r="J22" s="150" t="n"/>
      <c r="K22" s="48" t="inlineStr">
        <is>
          <t>Within 7 Days</t>
        </is>
      </c>
      <c r="L22" s="148" t="n"/>
      <c r="M22" s="150" t="n"/>
      <c r="N22" s="48" t="inlineStr">
        <is>
          <t>Within 7 Days</t>
        </is>
      </c>
      <c r="O22" s="148" t="n"/>
      <c r="P22" s="150" t="n"/>
      <c r="Q22" s="48" t="n"/>
      <c r="R22" s="148" t="n"/>
      <c r="S22" s="150" t="n"/>
    </row>
    <row r="23" ht="30.5" customFormat="1" customHeight="1" s="2">
      <c r="A23" s="151" t="inlineStr">
        <is>
          <t>Payment Terms</t>
        </is>
      </c>
      <c r="B23" s="107" t="n"/>
      <c r="C23" s="107" t="n"/>
      <c r="D23" s="152" t="n"/>
      <c r="E23" s="93" t="n"/>
      <c r="F23" s="107" t="n"/>
      <c r="G23" s="108" t="n"/>
      <c r="H23" s="94" t="inlineStr">
        <is>
          <t>30 Days Credit</t>
        </is>
      </c>
      <c r="I23" s="107" t="n"/>
      <c r="J23" s="108" t="n"/>
      <c r="K23" s="94" t="inlineStr">
        <is>
          <t>30 Days Credit</t>
        </is>
      </c>
      <c r="L23" s="107" t="n"/>
      <c r="M23" s="108" t="n"/>
      <c r="N23" s="94" t="inlineStr">
        <is>
          <t>30 Days Credit</t>
        </is>
      </c>
      <c r="O23" s="107" t="n"/>
      <c r="P23" s="108" t="n"/>
      <c r="Q23" s="94" t="n"/>
      <c r="R23" s="107" t="n"/>
      <c r="S23" s="108" t="n"/>
    </row>
    <row r="24" ht="30.5" customFormat="1" customHeight="1" s="2">
      <c r="A24" s="151" t="inlineStr">
        <is>
          <t xml:space="preserve">Price Validity </t>
        </is>
      </c>
      <c r="B24" s="107" t="n"/>
      <c r="C24" s="107" t="n"/>
      <c r="D24" s="152" t="n"/>
      <c r="E24" s="93" t="n"/>
      <c r="F24" s="107" t="n"/>
      <c r="G24" s="108" t="n"/>
      <c r="H24" s="94" t="n"/>
      <c r="I24" s="107" t="n"/>
      <c r="J24" s="108" t="n"/>
      <c r="K24" s="94" t="n"/>
      <c r="L24" s="107" t="n"/>
      <c r="M24" s="108" t="n"/>
      <c r="N24" s="94" t="n"/>
      <c r="O24" s="107" t="n"/>
      <c r="P24" s="108" t="n"/>
      <c r="Q24" s="94" t="n"/>
      <c r="R24" s="107" t="n"/>
      <c r="S24" s="108" t="n"/>
    </row>
    <row r="25" ht="30.5" customFormat="1" customHeight="1" s="2">
      <c r="A25" s="153" t="inlineStr">
        <is>
          <t>Remark</t>
        </is>
      </c>
      <c r="B25" s="107" t="n"/>
      <c r="C25" s="107" t="n"/>
      <c r="D25" s="152" t="n"/>
      <c r="E25" s="93" t="n"/>
      <c r="F25" s="107" t="n"/>
      <c r="G25" s="108" t="n"/>
      <c r="H25" s="94" t="n"/>
      <c r="I25" s="107" t="n"/>
      <c r="J25" s="108" t="n"/>
      <c r="K25" s="94" t="n"/>
      <c r="L25" s="107" t="n"/>
      <c r="M25" s="108" t="n"/>
      <c r="N25" s="94" t="n"/>
      <c r="O25" s="107" t="n"/>
      <c r="P25" s="108" t="n"/>
      <c r="Q25" s="94" t="n"/>
      <c r="R25" s="107" t="n"/>
      <c r="S25" s="108" t="n"/>
    </row>
  </sheetData>
  <mergeCells count="115">
    <mergeCell ref="Q14:S14"/>
    <mergeCell ref="E13:G13"/>
    <mergeCell ref="Q23:S23"/>
    <mergeCell ref="A20:D20"/>
    <mergeCell ref="Q4:S4"/>
    <mergeCell ref="N17:P17"/>
    <mergeCell ref="H17:J17"/>
    <mergeCell ref="E15:G15"/>
    <mergeCell ref="H11:J11"/>
    <mergeCell ref="A13:D13"/>
    <mergeCell ref="Q15:S15"/>
    <mergeCell ref="N19:P19"/>
    <mergeCell ref="H22:J22"/>
    <mergeCell ref="H19:J19"/>
    <mergeCell ref="A15:D15"/>
    <mergeCell ref="A24:D24"/>
    <mergeCell ref="K17:M17"/>
    <mergeCell ref="E16:G16"/>
    <mergeCell ref="K10:M10"/>
    <mergeCell ref="H5:J5"/>
    <mergeCell ref="A1:S1"/>
    <mergeCell ref="E18:G18"/>
    <mergeCell ref="A16:D16"/>
    <mergeCell ref="N4:P4"/>
    <mergeCell ref="Q25:S25"/>
    <mergeCell ref="K16:M16"/>
    <mergeCell ref="K25:M25"/>
    <mergeCell ref="K5:M5"/>
    <mergeCell ref="K20:M20"/>
    <mergeCell ref="K11:M11"/>
    <mergeCell ref="H21:J21"/>
    <mergeCell ref="E20:G20"/>
    <mergeCell ref="D4:D6"/>
    <mergeCell ref="A17:D17"/>
    <mergeCell ref="Q5:S5"/>
    <mergeCell ref="Q19:S19"/>
    <mergeCell ref="A22:D22"/>
    <mergeCell ref="K22:M22"/>
    <mergeCell ref="N18:P18"/>
    <mergeCell ref="A19:D19"/>
    <mergeCell ref="K12:M12"/>
    <mergeCell ref="H16:J16"/>
    <mergeCell ref="Q22:S22"/>
    <mergeCell ref="A4:A6"/>
    <mergeCell ref="N10:P10"/>
    <mergeCell ref="K14:M14"/>
    <mergeCell ref="K23:M23"/>
    <mergeCell ref="A11:D11"/>
    <mergeCell ref="K4:M4"/>
    <mergeCell ref="M2:S2"/>
    <mergeCell ref="Q13:S13"/>
    <mergeCell ref="K18:M18"/>
    <mergeCell ref="N20:P20"/>
    <mergeCell ref="Q16:S16"/>
    <mergeCell ref="H20:J20"/>
    <mergeCell ref="E24:G24"/>
    <mergeCell ref="Q24:S24"/>
    <mergeCell ref="N22:P22"/>
    <mergeCell ref="Q18:S18"/>
    <mergeCell ref="H4:J4"/>
    <mergeCell ref="E17:G17"/>
    <mergeCell ref="N12:P12"/>
    <mergeCell ref="N21:P21"/>
    <mergeCell ref="E10:G10"/>
    <mergeCell ref="E19:G19"/>
    <mergeCell ref="Q10:S10"/>
    <mergeCell ref="N14:P14"/>
    <mergeCell ref="N23:P23"/>
    <mergeCell ref="A10:D10"/>
    <mergeCell ref="E11:G11"/>
    <mergeCell ref="H13:J13"/>
    <mergeCell ref="Q17:S17"/>
    <mergeCell ref="H15:J15"/>
    <mergeCell ref="H24:J24"/>
    <mergeCell ref="E22:G22"/>
    <mergeCell ref="H18:J18"/>
    <mergeCell ref="K13:M13"/>
    <mergeCell ref="E12:G12"/>
    <mergeCell ref="E21:G21"/>
    <mergeCell ref="Q12:S12"/>
    <mergeCell ref="C4:C6"/>
    <mergeCell ref="K15:M15"/>
    <mergeCell ref="N11:P11"/>
    <mergeCell ref="Q21:S21"/>
    <mergeCell ref="K24:M24"/>
    <mergeCell ref="H10:J10"/>
    <mergeCell ref="N25:P25"/>
    <mergeCell ref="E14:G14"/>
    <mergeCell ref="A12:D12"/>
    <mergeCell ref="E23:G23"/>
    <mergeCell ref="A21:D21"/>
    <mergeCell ref="K21:M21"/>
    <mergeCell ref="E4:G4"/>
    <mergeCell ref="A14:D14"/>
    <mergeCell ref="A23:D23"/>
    <mergeCell ref="M3:S3"/>
    <mergeCell ref="N5:P5"/>
    <mergeCell ref="B4:B6"/>
    <mergeCell ref="N13:P13"/>
    <mergeCell ref="H12:J12"/>
    <mergeCell ref="E25:G25"/>
    <mergeCell ref="B3:K3"/>
    <mergeCell ref="N15:P15"/>
    <mergeCell ref="Q11:S11"/>
    <mergeCell ref="K19:M19"/>
    <mergeCell ref="N24:P24"/>
    <mergeCell ref="H14:J14"/>
    <mergeCell ref="H23:J23"/>
    <mergeCell ref="A25:D25"/>
    <mergeCell ref="B2:K2"/>
    <mergeCell ref="A18:D18"/>
    <mergeCell ref="N16:P16"/>
    <mergeCell ref="E5:G5"/>
    <mergeCell ref="H25:J25"/>
    <mergeCell ref="Q20:S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2026-10-12T12:03:00Z</dcterms:created>
  <dcterms:modified xmlns:dcterms="http://purl.org/dc/terms/" xmlns:xsi="http://www.w3.org/2001/XMLSchema-instance" xsi:type="dcterms:W3CDTF">2026-10-13T04:17:55Z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1033-12.1.0.29162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3E68795BD33346B7A3D8E9F8DFBFB521_12</vt:lpwstr>
  </property>
</Properties>
</file>
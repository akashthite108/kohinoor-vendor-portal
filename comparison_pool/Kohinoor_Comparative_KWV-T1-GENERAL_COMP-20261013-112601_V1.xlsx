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Tracking Code: COMP-20261013-112601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Mahindra</t>
        </is>
      </c>
      <c r="G4" s="109" t="n"/>
      <c r="H4" s="25" t="inlineStr">
        <is>
          <t xml:space="preserve">qert </t>
        </is>
      </c>
      <c r="J4" s="109" t="n"/>
      <c r="K4" s="27" t="inlineStr">
        <is>
          <t>Rab Pro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144</v>
      </c>
      <c r="F7" s="121" t="n">
        <v>142</v>
      </c>
      <c r="G7" s="121">
        <f>IF(F7&gt;0,C7*F7,IF(E7&gt;0,C7*E7,0))</f>
        <v/>
      </c>
      <c r="H7" s="121" t="n">
        <v>35346</v>
      </c>
      <c r="I7" s="121" t="n">
        <v>350</v>
      </c>
      <c r="J7" s="121">
        <f>IF(I7&gt;0,C7*I7,IF(H7&gt;0,C7*H7,0))</f>
        <v/>
      </c>
      <c r="K7" s="121" t="n">
        <v>345</v>
      </c>
      <c r="L7" s="121" t="n">
        <v>345</v>
      </c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7865</v>
      </c>
      <c r="F8" s="124" t="n">
        <v>7865</v>
      </c>
      <c r="G8" s="124">
        <f>IF(F8&gt;0,C8*F8,IF(E8&gt;0,C8*E8,0))</f>
        <v/>
      </c>
      <c r="H8" s="124" t="n">
        <v>142.97</v>
      </c>
      <c r="I8" s="124" t="n">
        <v>142.97</v>
      </c>
      <c r="J8" s="124">
        <f>IF(I8&gt;0,C8*I8,IF(H8&gt;0,C8*H8,0))</f>
        <v/>
      </c>
      <c r="K8" s="124" t="n">
        <v>256</v>
      </c>
      <c r="L8" s="124" t="n">
        <v>256</v>
      </c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30024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No</t>
        </is>
      </c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No</t>
        </is>
      </c>
      <c r="F14" s="148" t="n"/>
      <c r="G14" s="150" t="n"/>
      <c r="H14" s="48" t="inlineStr">
        <is>
          <t>No</t>
        </is>
      </c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inlineStr">
        <is>
          <t>Included</t>
        </is>
      </c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inlineStr">
        <is>
          <t>Not Applicable</t>
        </is>
      </c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Included</t>
        </is>
      </c>
      <c r="F17" s="103" t="n"/>
      <c r="G17" s="104" t="n"/>
      <c r="H17" s="68" t="inlineStr">
        <is>
          <t>Included</t>
        </is>
      </c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inlineStr">
        <is>
          <t>Included</t>
        </is>
      </c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1 Year Standard</t>
        </is>
      </c>
      <c r="F19" s="148" t="n"/>
      <c r="G19" s="150" t="n"/>
      <c r="H19" s="48" t="inlineStr">
        <is>
          <t>1 Year Standard</t>
        </is>
      </c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1 Year Standard</t>
        </is>
      </c>
      <c r="F20" s="148" t="n"/>
      <c r="G20" s="150" t="n"/>
      <c r="H20" s="48" t="inlineStr">
        <is>
          <t>1 Year Standard</t>
        </is>
      </c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No</t>
        </is>
      </c>
      <c r="F21" s="148" t="n"/>
      <c r="G21" s="150" t="n"/>
      <c r="H21" s="48" t="inlineStr">
        <is>
          <t>No</t>
        </is>
      </c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60 Days</t>
        </is>
      </c>
      <c r="F24" s="107" t="n"/>
      <c r="G24" s="108" t="n"/>
      <c r="H24" s="94" t="inlineStr">
        <is>
          <t>60 Days</t>
        </is>
      </c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2026-10-13T05:56:01Z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
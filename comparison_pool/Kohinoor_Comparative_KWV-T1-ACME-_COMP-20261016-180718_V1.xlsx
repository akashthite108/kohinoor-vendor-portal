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Tracking Code: COMP-20261016-180718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inlineStr">
        <is>
          <t>Kohinoor West View</t>
        </is>
      </c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2026-10-16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inlineStr">
        <is>
          <t>Tower A - Phase 2</t>
        </is>
      </c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>Ram Infra Solutions</t>
        </is>
      </c>
      <c r="G4" s="109" t="n"/>
      <c r="H4" s="25" t="inlineStr">
        <is>
          <t>Sky Solnu</t>
        </is>
      </c>
      <c r="J4" s="109" t="n"/>
      <c r="K4" s="27" t="inlineStr">
        <is>
          <t>Surya kamal</t>
        </is>
      </c>
      <c r="L4" s="100" t="n"/>
      <c r="M4" s="110" t="n"/>
      <c r="N4" s="30" t="inlineStr">
        <is>
          <t>Vendor D</t>
        </is>
      </c>
      <c r="O4" s="100" t="n"/>
      <c r="P4" s="110" t="n"/>
      <c r="Q4" s="30" t="inlineStr">
        <is>
          <t>Vendor E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Simpola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Brand!</t>
        </is>
      </c>
      <c r="O5" s="114" t="n"/>
      <c r="P5" s="116" t="n"/>
      <c r="Q5" s="35" t="inlineStr">
        <is>
          <t>Brand!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234</v>
      </c>
      <c r="F7" s="121" t="n">
        <v>234</v>
      </c>
      <c r="G7" s="121">
        <f>IF(F7&gt;0,C7*F7,IF(E7&gt;0,C7*E7,0))</f>
        <v/>
      </c>
      <c r="H7" s="121" t="n">
        <v>36</v>
      </c>
      <c r="I7" s="121" t="n">
        <v>36</v>
      </c>
      <c r="J7" s="121">
        <f>IF(I7&gt;0,C7*I7,IF(H7&gt;0,C7*H7,0))</f>
        <v/>
      </c>
      <c r="K7" s="121" t="n">
        <v>123</v>
      </c>
      <c r="L7" s="121" t="n">
        <v>123</v>
      </c>
      <c r="M7" s="122">
        <f>IF(L7&gt;0,C7*L7,IF(K7&gt;0,C7*K7,0))</f>
        <v/>
      </c>
      <c r="N7" s="121" t="n"/>
      <c r="O7" s="121" t="n"/>
      <c r="P7" s="122">
        <f>IF(O7&gt;0,C7*O7,IF(N7&gt;0,C7*N7,0))</f>
        <v/>
      </c>
      <c r="Q7" s="121" t="n"/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345</v>
      </c>
      <c r="F8" s="124" t="n">
        <v>345</v>
      </c>
      <c r="G8" s="124">
        <f>IF(F8&gt;0,C8*F8,IF(E8&gt;0,C8*E8,0))</f>
        <v/>
      </c>
      <c r="H8" s="124" t="n">
        <v>55</v>
      </c>
      <c r="I8" s="124" t="n">
        <v>55</v>
      </c>
      <c r="J8" s="124">
        <f>IF(I8&gt;0,C8*I8,IF(H8&gt;0,C8*H8,0))</f>
        <v/>
      </c>
      <c r="K8" s="124" t="n">
        <v>234</v>
      </c>
      <c r="L8" s="124" t="n">
        <v>234</v>
      </c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inlineStr">
        <is>
          <t>Tiles adhesive</t>
        </is>
      </c>
      <c r="C9" s="53" t="n">
        <v>1</v>
      </c>
      <c r="D9" s="53" t="inlineStr">
        <is>
          <t>Nos</t>
        </is>
      </c>
      <c r="E9" s="126" t="n">
        <v>23</v>
      </c>
      <c r="F9" s="127" t="n">
        <v>23</v>
      </c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2000</t>
        </is>
      </c>
      <c r="F11" s="103" t="n"/>
      <c r="G11" s="104" t="n"/>
      <c r="H11" s="43" t="inlineStr">
        <is>
          <t>300</t>
        </is>
      </c>
      <c r="I11" s="103" t="n"/>
      <c r="J11" s="104" t="n"/>
      <c r="K11" s="89" t="inlineStr">
        <is>
          <t>No</t>
        </is>
      </c>
      <c r="L11" s="103" t="n"/>
      <c r="M11" s="135" t="n"/>
      <c r="N11" s="89" t="n"/>
      <c r="O11" s="103" t="n"/>
      <c r="P11" s="135" t="n"/>
      <c r="Q11" s="89" t="n"/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n"/>
      <c r="O12" s="137" t="n"/>
      <c r="P12" s="138" t="n"/>
      <c r="Q12" s="142" t="n"/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inlineStr">
        <is>
          <t>Yes</t>
        </is>
      </c>
      <c r="F14" s="148" t="n"/>
      <c r="G14" s="150" t="n"/>
      <c r="H14" s="48" t="inlineStr">
        <is>
          <t>Yes</t>
        </is>
      </c>
      <c r="I14" s="148" t="n"/>
      <c r="J14" s="150" t="n"/>
      <c r="K14" s="48" t="inlineStr">
        <is>
          <t>Yes</t>
        </is>
      </c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inlineStr">
        <is>
          <t>Included</t>
        </is>
      </c>
      <c r="F15" s="103" t="n"/>
      <c r="G15" s="104" t="n"/>
      <c r="H15" s="68" t="inlineStr">
        <is>
          <t>Included</t>
        </is>
      </c>
      <c r="I15" s="103" t="n"/>
      <c r="J15" s="104" t="n"/>
      <c r="K15" s="68" t="inlineStr">
        <is>
          <t>Included</t>
        </is>
      </c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Not Applicable</t>
        </is>
      </c>
      <c r="F16" s="103" t="n"/>
      <c r="G16" s="104" t="n"/>
      <c r="H16" s="68" t="inlineStr">
        <is>
          <t>Not Applicable</t>
        </is>
      </c>
      <c r="I16" s="103" t="n"/>
      <c r="J16" s="104" t="n"/>
      <c r="K16" s="68" t="inlineStr">
        <is>
          <t>Not Applicable</t>
        </is>
      </c>
      <c r="L16" s="103" t="n"/>
      <c r="M16" s="104" t="n"/>
      <c r="N16" s="68" t="n"/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Included</t>
        </is>
      </c>
      <c r="F17" s="103" t="n"/>
      <c r="G17" s="104" t="n"/>
      <c r="H17" s="68" t="inlineStr">
        <is>
          <t>Included</t>
        </is>
      </c>
      <c r="I17" s="103" t="n"/>
      <c r="J17" s="104" t="n"/>
      <c r="K17" s="48" t="inlineStr">
        <is>
          <t>Included</t>
        </is>
      </c>
      <c r="L17" s="148" t="n"/>
      <c r="M17" s="150" t="n"/>
      <c r="N17" s="48" t="n"/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inlineStr">
        <is>
          <t>Included</t>
        </is>
      </c>
      <c r="F18" s="148" t="n"/>
      <c r="G18" s="150" t="n"/>
      <c r="H18" s="48" t="inlineStr">
        <is>
          <t>Included</t>
        </is>
      </c>
      <c r="I18" s="148" t="n"/>
      <c r="J18" s="150" t="n"/>
      <c r="K18" s="48" t="inlineStr">
        <is>
          <t>Included</t>
        </is>
      </c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inlineStr">
        <is>
          <t>1 Year Standard</t>
        </is>
      </c>
      <c r="F19" s="148" t="n"/>
      <c r="G19" s="150" t="n"/>
      <c r="H19" s="48" t="inlineStr">
        <is>
          <t>1 Year Standard</t>
        </is>
      </c>
      <c r="I19" s="148" t="n"/>
      <c r="J19" s="150" t="n"/>
      <c r="K19" s="48" t="inlineStr">
        <is>
          <t>1 Year Standard</t>
        </is>
      </c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inlineStr">
        <is>
          <t>1 Year Standard</t>
        </is>
      </c>
      <c r="F20" s="148" t="n"/>
      <c r="G20" s="150" t="n"/>
      <c r="H20" s="48" t="inlineStr">
        <is>
          <t>1 Year Standard</t>
        </is>
      </c>
      <c r="I20" s="148" t="n"/>
      <c r="J20" s="150" t="n"/>
      <c r="K20" s="48" t="inlineStr">
        <is>
          <t>1 Year Standard</t>
        </is>
      </c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inlineStr">
        <is>
          <t>Yes</t>
        </is>
      </c>
      <c r="F21" s="148" t="n"/>
      <c r="G21" s="150" t="n"/>
      <c r="H21" s="48" t="inlineStr">
        <is>
          <t>Yes</t>
        </is>
      </c>
      <c r="I21" s="148" t="n"/>
      <c r="J21" s="150" t="n"/>
      <c r="K21" s="48" t="inlineStr">
        <is>
          <t>Yes</t>
        </is>
      </c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n"/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n"/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inlineStr">
        <is>
          <t>60 Days</t>
        </is>
      </c>
      <c r="F24" s="107" t="n"/>
      <c r="G24" s="108" t="n"/>
      <c r="H24" s="94" t="inlineStr">
        <is>
          <t>60 Days</t>
        </is>
      </c>
      <c r="I24" s="107" t="n"/>
      <c r="J24" s="108" t="n"/>
      <c r="K24" s="94" t="inlineStr">
        <is>
          <t>60 Days</t>
        </is>
      </c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2026-10-16T12:37:18Z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
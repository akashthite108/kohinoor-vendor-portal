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54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<sst xmlns="http://schemas.openxmlformats.org/spreadsheetml/2006/main" count="106" uniqueCount="52">
  <si>
    <t>COMPARATIVE STATEMENT</t>
  </si>
  <si>
    <t>Project :</t>
  </si>
  <si>
    <t>Kohinoor West View</t>
  </si>
  <si>
    <t>2026-10-12</t>
  </si>
  <si>
    <t>Tower :</t>
  </si>
  <si>
    <t>Tower A - Phase 2</t>
  </si>
  <si>
    <t>Purchase Dept (Automated)</t>
  </si>
  <si>
    <t>Sr.No</t>
  </si>
  <si>
    <t xml:space="preserve"> Material Description</t>
  </si>
  <si>
    <t>Qty</t>
  </si>
  <si>
    <t>Unit</t>
  </si>
  <si>
    <t xml:space="preserve">Acme Build Tech </t>
  </si>
  <si>
    <t>Vendor E</t>
  </si>
  <si>
    <t>Ultratech</t>
  </si>
  <si>
    <t>Shree</t>
  </si>
  <si>
    <t>Brand!</t>
  </si>
  <si>
    <t>Rate R0</t>
  </si>
  <si>
    <t>Rate R1</t>
  </si>
  <si>
    <t>Amount</t>
  </si>
  <si>
    <t>AAC Blocks (600x200x150mm)</t>
  </si>
  <si>
    <t>Nos</t>
  </si>
  <si>
    <t>Polymer Modified Tile Adhesive (25kg bag)</t>
  </si>
  <si>
    <t>Bags</t>
  </si>
  <si>
    <t>Mivan Formwork Pins &amp; Wedges</t>
  </si>
  <si>
    <t>Pcs</t>
  </si>
  <si>
    <t>Basic Value</t>
  </si>
  <si>
    <t>Transport</t>
  </si>
  <si>
    <t>320</t>
  </si>
  <si>
    <t>3000</t>
  </si>
  <si>
    <t>GST</t>
  </si>
  <si>
    <t>12% GST</t>
  </si>
  <si>
    <t>18% Extra</t>
  </si>
  <si>
    <t>18% GST</t>
  </si>
  <si>
    <t>Final Value / Amount</t>
  </si>
  <si>
    <t>Earlier Supplied</t>
  </si>
  <si>
    <t>Loading</t>
  </si>
  <si>
    <t>Included</t>
  </si>
  <si>
    <t>Insurance</t>
  </si>
  <si>
    <t>Not Applicable</t>
  </si>
  <si>
    <t>Unloading</t>
  </si>
  <si>
    <t>Erection / Commissioning / Installation</t>
  </si>
  <si>
    <t>Warranty</t>
  </si>
  <si>
    <t>1 Year Standard</t>
  </si>
  <si>
    <t>Guarantee</t>
  </si>
  <si>
    <t>Yes</t>
  </si>
  <si>
    <t>Delivery Timeline</t>
  </si>
  <si>
    <t>Within 7 Days</t>
  </si>
  <si>
    <t>Payment Terms</t>
  </si>
  <si>
    <t>30 Days Credit</t>
  </si>
  <si>
    <t xml:space="preserve">Price Validity </t>
  </si>
  <si>
    <t>60 Days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</si>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</sst>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1010407]dddd\,\ dd\.\ mmmm\ yyyy;@"/>
    <numFmt numFmtId="181" formatCode="&quot;₹&quot;#,##0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Microsoft YaHei"/>
      <charset val="134"/>
    </font>
    <font>
      <b/>
      <sz val="11"/>
      <color rgb="FF1F4E79"/>
      <name val="Microsoft YaHei"/>
      <charset val="134"/>
    </font>
    <font>
      <b/>
      <sz val="11"/>
      <color rgb="FF000000"/>
      <name val="Microsoft YaHei"/>
      <charset val="134"/>
    </font>
    <font>
      <b/>
      <sz val="12"/>
      <color theme="1"/>
      <name val="Microsoft YaHei"/>
      <charset val="134"/>
    </font>
    <font>
      <b/>
      <sz val="11"/>
      <color theme="1"/>
      <name val="Microsoft YaHe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 tint="0.4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theme="4" tint="0.6"/>
        <bgColor rgb="FF1F4E79"/>
      </patternFill>
    </fill>
    <fill>
      <patternFill patternType="solid">
        <fgColor theme="9" tint="0.6"/>
        <bgColor rgb="FF2F5597"/>
      </patternFill>
    </fill>
    <fill>
      <patternFill patternType="solid">
        <fgColor rgb="FF00B0F0"/>
        <bgColor rgb="FF2F5597"/>
      </patternFill>
    </fill>
    <fill>
      <patternFill patternType="solid">
        <fgColor theme="6" tint="0.4"/>
        <bgColor rgb="FFD9E1F2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D9E1F2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rgb="FFD9D9D9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11" borderId="55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6">
      <alignment vertical="center"/>
    </xf>
    <xf numFmtId="0" fontId="13" fillId="0" borderId="56">
      <alignment vertical="center"/>
    </xf>
    <xf numFmtId="0" fontId="14" fillId="0" borderId="57">
      <alignment vertical="center"/>
    </xf>
    <xf numFmtId="0" fontId="14" fillId="0" borderId="0">
      <alignment vertical="center"/>
    </xf>
    <xf numFmtId="0" fontId="15" fillId="12" borderId="58">
      <alignment vertical="center"/>
    </xf>
    <xf numFmtId="0" fontId="16" fillId="13" borderId="59">
      <alignment vertical="center"/>
    </xf>
    <xf numFmtId="0" fontId="17" fillId="13" borderId="58">
      <alignment vertical="center"/>
    </xf>
    <xf numFmtId="0" fontId="18" fillId="14" borderId="60">
      <alignment vertical="center"/>
    </xf>
    <xf numFmtId="0" fontId="19" fillId="0" borderId="61">
      <alignment vertical="center"/>
    </xf>
    <xf numFmtId="0" fontId="20" fillId="0" borderId="62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5" fillId="35" borderId="0">
      <alignment vertical="center"/>
    </xf>
    <xf numFmtId="0" fontId="25" fillId="36" borderId="0">
      <alignment vertical="center"/>
    </xf>
    <xf numFmtId="0" fontId="24" fillId="37" borderId="0">
      <alignment vertical="center"/>
    </xf>
    <xf numFmtId="0" fontId="24" fillId="38" borderId="0">
      <alignment vertical="center"/>
    </xf>
    <xf numFmtId="0" fontId="25" fillId="39" borderId="0">
      <alignment vertical="center"/>
    </xf>
    <xf numFmtId="0" fontId="25" fillId="40" borderId="0">
      <alignment vertical="center"/>
    </xf>
    <xf numFmtId="0" fontId="24" fillId="41" borderId="0">
      <alignment vertical="center"/>
    </xf>
  </cellStyleXfs>
  <cellXfs count="86">
    <xf numFmtId="0" fontId="0" fillId="0" borderId="0" xfId="0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0" borderId="6" xfId="0" applyBorder="1" applyAlignment="1"/>
    <xf numFmtId="0" fontId="0" fillId="0" borderId="7" xfId="0" applyBorder="1" applyAlignment="1"/>
    <xf numFmtId="0" fontId="3" fillId="3" borderId="7" xfId="0" applyFont="1" applyFill="1" applyBorder="1" applyAlignment="1">
      <alignment horizontal="left" vertical="center" wrapText="1"/>
    </xf>
    <xf numFmtId="180" fontId="4" fillId="3" borderId="5" xfId="0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0" fillId="0" borderId="10" xfId="0" applyBorder="1" applyAlignment="1"/>
    <xf numFmtId="0" fontId="0" fillId="0" borderId="11" xfId="0" applyBorder="1" applyAlignment="1"/>
    <xf numFmtId="0" fontId="3" fillId="3" borderId="11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0" fillId="0" borderId="16" xfId="0" applyBorder="1" applyAlignment="1"/>
    <xf numFmtId="0" fontId="5" fillId="4" borderId="16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0" fillId="0" borderId="18" xfId="0" applyBorder="1" applyAlignment="1"/>
    <xf numFmtId="0" fontId="5" fillId="4" borderId="18" xfId="0" applyFont="1" applyFill="1" applyBorder="1" applyAlignment="1">
      <alignment horizontal="center" vertical="center" wrapText="1"/>
    </xf>
    <xf numFmtId="0" fontId="0" fillId="0" borderId="19" xfId="0" applyBorder="1" applyAlignment="1"/>
    <xf numFmtId="0" fontId="0" fillId="0" borderId="20" xfId="0" applyBorder="1" applyAlignment="1"/>
    <xf numFmtId="0" fontId="5" fillId="5" borderId="21" xfId="0" applyFont="1" applyFill="1" applyBorder="1" applyAlignment="1">
      <alignment horizontal="center" vertical="center" wrapText="1"/>
    </xf>
    <xf numFmtId="0" fontId="0" fillId="0" borderId="22" xfId="0" applyBorder="1" applyAlignment="1"/>
    <xf numFmtId="0" fontId="0" fillId="0" borderId="23" xfId="0" applyBorder="1" applyAlignment="1"/>
    <xf numFmtId="0" fontId="5" fillId="5" borderId="23" xfId="0" applyFont="1" applyFill="1" applyBorder="1" applyAlignment="1">
      <alignment horizontal="center" vertical="center" wrapText="1"/>
    </xf>
    <xf numFmtId="0" fontId="5" fillId="5" borderId="24" xfId="0" applyFont="1" applyFill="1" applyBorder="1" applyAlignment="1">
      <alignment horizontal="center" vertical="center" wrapText="1"/>
    </xf>
    <xf numFmtId="0" fontId="0" fillId="0" borderId="24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5" fillId="6" borderId="21" xfId="0" applyFont="1" applyFill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81" fontId="4" fillId="0" borderId="27" xfId="0" applyNumberFormat="1" applyFont="1" applyBorder="1" applyAlignment="1">
      <alignment horizontal="center" vertical="center" wrapText="1"/>
    </xf>
    <xf numFmtId="181" fontId="4" fillId="0" borderId="28" xfId="0" applyNumberFormat="1" applyFont="1" applyBorder="1" applyAlignment="1">
      <alignment horizontal="center" vertical="center" wrapText="1"/>
    </xf>
    <xf numFmtId="181" fontId="4" fillId="0" borderId="29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181" fontId="4" fillId="0" borderId="32" xfId="0" applyNumberFormat="1" applyFont="1" applyBorder="1" applyAlignment="1">
      <alignment horizontal="center" vertical="center" wrapText="1"/>
    </xf>
    <xf numFmtId="181" fontId="4" fillId="0" borderId="31" xfId="0" applyNumberFormat="1" applyFont="1" applyBorder="1" applyAlignment="1">
      <alignment horizontal="center" vertical="center" wrapText="1"/>
    </xf>
    <xf numFmtId="181" fontId="4" fillId="0" borderId="33" xfId="0" applyNumberFormat="1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181" fontId="4" fillId="0" borderId="11" xfId="0" applyNumberFormat="1" applyFont="1" applyBorder="1" applyAlignment="1">
      <alignment horizontal="center" vertical="center" wrapText="1"/>
    </xf>
    <xf numFmtId="181" fontId="4" fillId="0" borderId="9" xfId="0" applyNumberFormat="1" applyFont="1" applyBorder="1" applyAlignment="1">
      <alignment horizontal="center" vertical="center" wrapText="1"/>
    </xf>
    <xf numFmtId="181" fontId="4" fillId="0" borderId="36" xfId="0" applyNumberFormat="1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181" fontId="4" fillId="8" borderId="37" xfId="0" applyNumberFormat="1" applyFont="1" applyFill="1" applyBorder="1" applyAlignment="1">
      <alignment horizontal="center" vertical="center" wrapText="1"/>
    </xf>
    <xf numFmtId="0" fontId="0" fillId="0" borderId="38" xfId="0" applyBorder="1" applyAlignment="1"/>
    <xf numFmtId="0" fontId="0" fillId="0" borderId="37" xfId="0" applyBorder="1" applyAlignment="1"/>
    <xf numFmtId="181" fontId="4" fillId="8" borderId="39" xfId="0" applyNumberFormat="1" applyFont="1" applyFill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0" fillId="0" borderId="41" xfId="0" applyBorder="1" applyAlignment="1"/>
    <xf numFmtId="0" fontId="4" fillId="0" borderId="7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0" fillId="0" borderId="44" xfId="0" applyBorder="1" applyAlignment="1"/>
    <xf numFmtId="0" fontId="0" fillId="0" borderId="45" xfId="0" applyBorder="1" applyAlignment="1"/>
    <xf numFmtId="181" fontId="4" fillId="0" borderId="46" xfId="0" applyNumberFormat="1" applyFont="1" applyBorder="1" applyAlignment="1">
      <alignment horizontal="center" vertical="center" wrapText="1"/>
    </xf>
    <xf numFmtId="0" fontId="0" fillId="0" borderId="46" xfId="0" applyBorder="1" applyAlignment="1"/>
    <xf numFmtId="181" fontId="4" fillId="0" borderId="35" xfId="0" applyNumberFormat="1" applyFont="1" applyBorder="1" applyAlignment="1">
      <alignment horizontal="center" vertical="center" wrapText="1"/>
    </xf>
    <xf numFmtId="181" fontId="4" fillId="0" borderId="47" xfId="0" applyNumberFormat="1" applyFont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181" fontId="3" fillId="8" borderId="18" xfId="0" applyNumberFormat="1" applyFont="1" applyFill="1" applyBorder="1" applyAlignment="1">
      <alignment horizontal="center" vertical="center" wrapText="1"/>
    </xf>
    <xf numFmtId="181" fontId="3" fillId="8" borderId="48" xfId="0" applyNumberFormat="1" applyFont="1" applyFill="1" applyBorder="1" applyAlignment="1">
      <alignment horizontal="center" vertical="center" wrapText="1"/>
    </xf>
    <xf numFmtId="181" fontId="3" fillId="8" borderId="49" xfId="0" applyNumberFormat="1" applyFont="1" applyFill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0" fillId="0" borderId="51" xfId="0" applyBorder="1" applyAlignment="1"/>
    <xf numFmtId="0" fontId="0" fillId="0" borderId="52" xfId="0" applyBorder="1" applyAlignment="1"/>
    <xf numFmtId="0" fontId="4" fillId="0" borderId="32" xfId="0" applyFont="1" applyBorder="1" applyAlignment="1">
      <alignment horizontal="center" vertical="center" wrapText="1"/>
    </xf>
    <xf numFmtId="0" fontId="0" fillId="0" borderId="32" xfId="0" applyBorder="1" applyAlignment="1"/>
    <xf numFmtId="0" fontId="4" fillId="0" borderId="53" xfId="0" applyFont="1" applyBorder="1" applyAlignment="1">
      <alignment horizontal="center" vertical="center" wrapText="1"/>
    </xf>
    <xf numFmtId="0" fontId="0" fillId="0" borderId="54" xfId="0" applyBorder="1" applyAlignment="1"/>
    <xf numFmtId="0" fontId="4" fillId="0" borderId="1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10" borderId="53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25"/>
  <sheetViews>
    <sheetView tabSelected="1" topLeftCell="A3" workbookViewId="0">
      <selection activeCell="A1" sqref="$A1:$XFD1048576"/>
    </sheetView>
  </sheetViews>
  <sheetFormatPr defaultColWidth="9" defaultRowHeight="15"/>
  <cols>
    <col min="1" max="1" width="15.2" style="1" customWidth="1"/>
    <col min="2" max="2" width="25.4285714285714" style="1" customWidth="1"/>
    <col min="3" max="3" width="10.1428571428571" style="1" customWidth="1"/>
    <col min="4" max="4" width="12.2857142857143" style="1" customWidth="1"/>
    <col min="5" max="11" width="15.5809523809524" style="1" customWidth="1"/>
    <col min="12" max="12" width="20.152380952381" style="1" customWidth="1"/>
    <col min="13" max="19" width="15.5809523809524" style="1" customWidth="1"/>
    <col min="20" max="16384" width="9" style="1" customWidth="1"/>
  </cols>
  <sheetData>
    <row r="1" s="1" customFormat="1" ht="38.75" customHeight="1" spans="1:19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</row>
    <row r="2" s="1" customFormat="1" ht="30.5" customHeight="1" spans="1:19">
      <c r="A2" s="6" t="s">
        <v>1</v>
      </c>
      <c r="B2" s="7" t="s">
        <v>2</v>
      </c>
      <c r="C2" s="8"/>
      <c r="D2" s="8"/>
      <c r="E2" s="8"/>
      <c r="F2" s="8"/>
      <c r="G2" s="8"/>
      <c r="H2" s="8"/>
      <c r="I2" s="8"/>
      <c r="J2" s="8"/>
      <c r="K2" s="9"/>
      <c r="L2" s="10" t="s">
        <v>3</v>
      </c>
      <c r="M2" s="11"/>
      <c r="N2" s="8"/>
      <c r="O2" s="8"/>
      <c r="P2" s="8"/>
      <c r="Q2" s="8"/>
      <c r="R2" s="8"/>
      <c r="S2" s="9"/>
    </row>
    <row r="3" s="1" customFormat="1" ht="30.5" customHeight="1" spans="1:19">
      <c r="A3" s="12" t="s">
        <v>4</v>
      </c>
      <c r="B3" s="13" t="s">
        <v>5</v>
      </c>
      <c r="C3" s="14"/>
      <c r="D3" s="14"/>
      <c r="E3" s="14"/>
      <c r="F3" s="14"/>
      <c r="G3" s="14"/>
      <c r="H3" s="14"/>
      <c r="I3" s="14"/>
      <c r="J3" s="14"/>
      <c r="K3" s="15"/>
      <c r="L3" s="16" t="s">
        <v>6</v>
      </c>
      <c r="M3" s="17"/>
      <c r="N3" s="14"/>
      <c r="O3" s="14"/>
      <c r="P3" s="14"/>
      <c r="Q3" s="14"/>
      <c r="R3" s="14"/>
      <c r="S3" s="15"/>
    </row>
    <row r="4" s="1" customFormat="1" ht="31.25" customHeight="1" spans="1:19">
      <c r="A4" s="18" t="s">
        <v>7</v>
      </c>
      <c r="B4" s="19" t="s">
        <v>8</v>
      </c>
      <c r="C4" s="19" t="s">
        <v>9</v>
      </c>
      <c r="D4" s="20" t="s">
        <v>10</v>
      </c>
      <c r="E4" s="21" t="s">
        <v>11</v>
      </c>
      <c r="G4" s="22"/>
      <c r="H4" s="23" t="s">
        <v>11</v>
      </c>
      <c r="J4" s="22"/>
      <c r="K4" s="24" t="s">
        <v>11</v>
      </c>
      <c r="L4" s="4"/>
      <c r="M4" s="25"/>
      <c r="N4" s="26" t="s">
        <v>11</v>
      </c>
      <c r="O4" s="4"/>
      <c r="P4" s="25"/>
      <c r="Q4" s="26" t="s">
        <v>12</v>
      </c>
      <c r="R4" s="4"/>
      <c r="S4" s="25"/>
    </row>
    <row r="5" s="1" customFormat="1" ht="31.25" customHeight="1" spans="1:19">
      <c r="A5" s="27"/>
      <c r="B5" s="27"/>
      <c r="C5" s="27"/>
      <c r="D5" s="28"/>
      <c r="E5" s="29" t="s">
        <v>13</v>
      </c>
      <c r="F5" s="30"/>
      <c r="G5" s="31"/>
      <c r="H5" s="32" t="s">
        <v>14</v>
      </c>
      <c r="I5" s="30"/>
      <c r="J5" s="31"/>
      <c r="K5" s="33" t="s">
        <v>13</v>
      </c>
      <c r="L5" s="30"/>
      <c r="M5" s="34"/>
      <c r="N5" s="33" t="s">
        <v>13</v>
      </c>
      <c r="O5" s="30"/>
      <c r="P5" s="34"/>
      <c r="Q5" s="33" t="s">
        <v>15</v>
      </c>
      <c r="R5" s="30"/>
      <c r="S5" s="34"/>
    </row>
    <row r="6" s="1" customFormat="1" ht="37" customHeight="1" spans="1:19">
      <c r="A6" s="35"/>
      <c r="B6" s="36"/>
      <c r="C6" s="36"/>
      <c r="D6" s="37"/>
      <c r="E6" s="38" t="s">
        <v>16</v>
      </c>
      <c r="F6" s="39" t="s">
        <v>17</v>
      </c>
      <c r="G6" s="39" t="s">
        <v>18</v>
      </c>
      <c r="H6" s="39" t="s">
        <v>16</v>
      </c>
      <c r="I6" s="39" t="s">
        <v>17</v>
      </c>
      <c r="J6" s="39" t="s">
        <v>18</v>
      </c>
      <c r="K6" s="39" t="s">
        <v>16</v>
      </c>
      <c r="L6" s="39" t="s">
        <v>17</v>
      </c>
      <c r="M6" s="40" t="s">
        <v>18</v>
      </c>
      <c r="N6" s="39" t="s">
        <v>16</v>
      </c>
      <c r="O6" s="39" t="s">
        <v>17</v>
      </c>
      <c r="P6" s="40" t="s">
        <v>18</v>
      </c>
      <c r="Q6" s="39" t="s">
        <v>16</v>
      </c>
      <c r="R6" s="39" t="s">
        <v>17</v>
      </c>
      <c r="S6" s="40" t="s">
        <v>18</v>
      </c>
    </row>
    <row r="7" s="1" customFormat="1" ht="30.5" customHeight="1" spans="1:19">
      <c r="A7" s="41">
        <v>1</v>
      </c>
      <c r="B7" s="42" t="s">
        <v>19</v>
      </c>
      <c r="C7" s="42">
        <v>500</v>
      </c>
      <c r="D7" s="42" t="s">
        <v>20</v>
      </c>
      <c r="E7" s="43">
        <v>420</v>
      </c>
      <c r="F7" s="44"/>
      <c r="G7" s="44">
        <f>IF(F7&gt;0,C7*F7,IF(E7&gt;0,C7*E7,0))</f>
        <v>210000</v>
      </c>
      <c r="H7" s="44">
        <v>1250</v>
      </c>
      <c r="I7" s="44"/>
      <c r="J7" s="44">
        <f>IF(I7&gt;0,C7*I7,IF(H7&gt;0,C7*H7,0))</f>
        <v>625000</v>
      </c>
      <c r="K7" s="44">
        <v>420</v>
      </c>
      <c r="L7" s="44"/>
      <c r="M7" s="45">
        <f>IF(L7&gt;0,C7*L7,IF(K7&gt;0,C7*K7,0))</f>
        <v>210000</v>
      </c>
      <c r="N7" s="44">
        <v>420</v>
      </c>
      <c r="O7" s="44"/>
      <c r="P7" s="45">
        <f>IF(O7&gt;0,C7*O7,IF(N7&gt;0,C7*N7,0))</f>
        <v>210000</v>
      </c>
      <c r="Q7" s="44"/>
      <c r="R7" s="44"/>
      <c r="S7" s="45">
        <f>IF(R7&gt;0,C7*R7,IF(Q7&gt;0,C7*Q7,0))</f>
        <v>0</v>
      </c>
    </row>
    <row r="8" s="1" customFormat="1" ht="30.5" customHeight="1" spans="1:19">
      <c r="A8" s="46">
        <v>2</v>
      </c>
      <c r="B8" s="47" t="s">
        <v>21</v>
      </c>
      <c r="C8" s="47">
        <v>200</v>
      </c>
      <c r="D8" s="47" t="s">
        <v>22</v>
      </c>
      <c r="E8" s="48">
        <v>234</v>
      </c>
      <c r="F8" s="49"/>
      <c r="G8" s="49">
        <f>IF(F8&gt;0,C8*F8,IF(E8&gt;0,C8*E8,0))</f>
        <v>46800</v>
      </c>
      <c r="H8" s="49">
        <v>420</v>
      </c>
      <c r="I8" s="49"/>
      <c r="J8" s="49">
        <f>IF(I8&gt;0,C8*I8,IF(H8&gt;0,C8*H8,0))</f>
        <v>84000</v>
      </c>
      <c r="K8" s="49">
        <v>320</v>
      </c>
      <c r="L8" s="49"/>
      <c r="M8" s="50">
        <f>IF(L8&gt;0,C8*L8,IF(K8&gt;0,C8*K8,0))</f>
        <v>64000</v>
      </c>
      <c r="N8" s="49">
        <v>234</v>
      </c>
      <c r="O8" s="49"/>
      <c r="P8" s="50">
        <f>IF(O8&gt;0,C8*O8,IF(N8&gt;0,C8*N8,0))</f>
        <v>46800</v>
      </c>
      <c r="Q8" s="49"/>
      <c r="R8" s="49"/>
      <c r="S8" s="45">
        <f>IF(R8&gt;0,C8*R8,IF(Q8&gt;0,C8*Q8,0))</f>
        <v>0</v>
      </c>
    </row>
    <row r="9" s="1" customFormat="1" ht="30.5" customHeight="1" spans="1:19">
      <c r="A9" s="51">
        <v>3</v>
      </c>
      <c r="B9" s="52" t="s">
        <v>23</v>
      </c>
      <c r="C9" s="52">
        <v>1000</v>
      </c>
      <c r="D9" s="52" t="s">
        <v>24</v>
      </c>
      <c r="E9" s="53"/>
      <c r="F9" s="54"/>
      <c r="G9" s="54">
        <f>IF(F9&gt;0,C9*F9,IF(E9&gt;0,C9*E9,0))</f>
        <v>0</v>
      </c>
      <c r="H9" s="54">
        <v>12.46</v>
      </c>
      <c r="I9" s="54"/>
      <c r="J9" s="54">
        <f>IF(I9&gt;0,C9*I9,IF(H9&gt;0,C9*H9,0))</f>
        <v>12460</v>
      </c>
      <c r="K9" s="54"/>
      <c r="L9" s="54"/>
      <c r="M9" s="55">
        <f>IF(L9&gt;0,C9*L9,IF(K9&gt;0,C9*K9,0))</f>
        <v>0</v>
      </c>
      <c r="N9" s="54"/>
      <c r="O9" s="54"/>
      <c r="P9" s="55">
        <f>IF(O9&gt;0,C9*O9,IF(N9&gt;0,C9*N9,0))</f>
        <v>0</v>
      </c>
      <c r="Q9" s="54"/>
      <c r="R9" s="54"/>
      <c r="S9" s="55">
        <f>IF(R9&gt;0,C9*R9,IF(Q9&gt;0,C9*Q9,0))</f>
        <v>0</v>
      </c>
    </row>
    <row r="10" s="1" customFormat="1" ht="30.5" customHeight="1" spans="1:19">
      <c r="A10" s="56" t="s">
        <v>25</v>
      </c>
      <c r="B10" s="4"/>
      <c r="C10" s="4"/>
      <c r="D10" s="5"/>
      <c r="E10" s="57">
        <f>SUM(G7:G9)</f>
        <v>256800</v>
      </c>
      <c r="F10" s="58"/>
      <c r="G10" s="59"/>
      <c r="H10" s="60">
        <f>SUM(J7:J9)</f>
        <v>721460</v>
      </c>
      <c r="I10" s="58"/>
      <c r="J10" s="59"/>
      <c r="K10" s="60">
        <f>SUM(M7:M9)</f>
        <v>274000</v>
      </c>
      <c r="L10" s="58"/>
      <c r="M10" s="59"/>
      <c r="N10" s="60">
        <f>SUM(P7:P9)</f>
        <v>256800</v>
      </c>
      <c r="O10" s="58"/>
      <c r="P10" s="59"/>
      <c r="Q10" s="60">
        <f>SUM(S7:S9)</f>
        <v>0</v>
      </c>
      <c r="R10" s="58"/>
      <c r="S10" s="59"/>
    </row>
    <row r="11" s="1" customFormat="1" ht="30.5" customHeight="1" spans="1:19">
      <c r="A11" s="61" t="s">
        <v>26</v>
      </c>
      <c r="B11" s="8"/>
      <c r="C11" s="8"/>
      <c r="D11" s="62"/>
      <c r="E11" s="63" t="s">
        <v>27</v>
      </c>
      <c r="F11" s="8"/>
      <c r="G11" s="9"/>
      <c r="H11" s="42" t="s">
        <v>28</v>
      </c>
      <c r="I11" s="8"/>
      <c r="J11" s="9"/>
      <c r="K11" s="64" t="s">
        <v>28</v>
      </c>
      <c r="L11" s="8"/>
      <c r="M11" s="62"/>
      <c r="N11" s="64" t="s">
        <v>27</v>
      </c>
      <c r="O11" s="8"/>
      <c r="P11" s="62"/>
      <c r="Q11" s="64"/>
      <c r="R11" s="8"/>
      <c r="S11" s="62"/>
    </row>
    <row r="12" s="1" customFormat="1" ht="30.5" customHeight="1" spans="1:19">
      <c r="A12" s="65" t="s">
        <v>29</v>
      </c>
      <c r="B12" s="66"/>
      <c r="C12" s="66"/>
      <c r="D12" s="67"/>
      <c r="E12" s="68" t="s">
        <v>30</v>
      </c>
      <c r="F12" s="66"/>
      <c r="G12" s="69"/>
      <c r="H12" s="70" t="s">
        <v>31</v>
      </c>
      <c r="I12" s="66"/>
      <c r="J12" s="69"/>
      <c r="K12" s="71" t="s">
        <v>32</v>
      </c>
      <c r="L12" s="66"/>
      <c r="M12" s="67"/>
      <c r="N12" s="71" t="s">
        <v>30</v>
      </c>
      <c r="O12" s="66"/>
      <c r="P12" s="67"/>
      <c r="Q12" s="71"/>
      <c r="R12" s="66"/>
      <c r="S12" s="67"/>
    </row>
    <row r="13" s="1" customFormat="1" ht="30.5" customHeight="1" spans="1:19">
      <c r="A13" s="72" t="s">
        <v>33</v>
      </c>
      <c r="B13" s="4"/>
      <c r="C13" s="4"/>
      <c r="D13" s="5"/>
      <c r="E13" s="73">
        <f>SUM(E10:G12)</f>
        <v>256800</v>
      </c>
      <c r="F13" s="4"/>
      <c r="G13" s="25"/>
      <c r="H13" s="74">
        <f>SUM(H10:J12)</f>
        <v>721460</v>
      </c>
      <c r="I13" s="4"/>
      <c r="J13" s="25"/>
      <c r="K13" s="75">
        <f>SUM(K10:M12)</f>
        <v>274000</v>
      </c>
      <c r="L13" s="4"/>
      <c r="M13" s="5"/>
      <c r="N13" s="75">
        <f>SUM(N10:P12)</f>
        <v>256800</v>
      </c>
      <c r="O13" s="4"/>
      <c r="P13" s="5"/>
      <c r="Q13" s="75">
        <f>SUM(Q10:S12)</f>
        <v>0</v>
      </c>
      <c r="R13" s="4"/>
      <c r="S13" s="5"/>
    </row>
    <row r="14" s="1" customFormat="1" ht="30.5" customHeight="1" spans="1:19">
      <c r="A14" s="76" t="s">
        <v>34</v>
      </c>
      <c r="B14" s="77"/>
      <c r="C14" s="77"/>
      <c r="D14" s="78"/>
      <c r="E14" s="79"/>
      <c r="F14" s="77"/>
      <c r="G14" s="80"/>
      <c r="H14" s="47"/>
      <c r="I14" s="77"/>
      <c r="J14" s="80"/>
      <c r="K14" s="47"/>
      <c r="L14" s="77"/>
      <c r="M14" s="80"/>
      <c r="N14" s="47"/>
      <c r="O14" s="77"/>
      <c r="P14" s="80"/>
      <c r="Q14" s="47"/>
      <c r="R14" s="77"/>
      <c r="S14" s="80"/>
    </row>
    <row r="15" s="1" customFormat="1" ht="30.5" customHeight="1" spans="1:19">
      <c r="A15" s="46" t="s">
        <v>35</v>
      </c>
      <c r="B15" s="77"/>
      <c r="C15" s="77"/>
      <c r="D15" s="80"/>
      <c r="E15" s="63" t="s">
        <v>36</v>
      </c>
      <c r="F15" s="8"/>
      <c r="G15" s="9"/>
      <c r="H15" s="63" t="s">
        <v>36</v>
      </c>
      <c r="I15" s="8"/>
      <c r="J15" s="9"/>
      <c r="K15" s="63" t="s">
        <v>36</v>
      </c>
      <c r="L15" s="8"/>
      <c r="M15" s="9"/>
      <c r="N15" s="63" t="s">
        <v>36</v>
      </c>
      <c r="O15" s="8"/>
      <c r="P15" s="9"/>
      <c r="Q15" s="63"/>
      <c r="R15" s="8"/>
      <c r="S15" s="9"/>
    </row>
    <row r="16" s="1" customFormat="1" ht="30.5" customHeight="1" spans="1:19">
      <c r="A16" s="46" t="s">
        <v>37</v>
      </c>
      <c r="B16" s="77"/>
      <c r="C16" s="77"/>
      <c r="D16" s="80"/>
      <c r="E16" s="63" t="s">
        <v>38</v>
      </c>
      <c r="F16" s="8"/>
      <c r="G16" s="9"/>
      <c r="H16" s="63" t="s">
        <v>38</v>
      </c>
      <c r="I16" s="8"/>
      <c r="J16" s="9"/>
      <c r="K16" s="63" t="s">
        <v>38</v>
      </c>
      <c r="L16" s="8"/>
      <c r="M16" s="9"/>
      <c r="N16" s="63" t="s">
        <v>38</v>
      </c>
      <c r="O16" s="8"/>
      <c r="P16" s="9"/>
      <c r="Q16" s="63"/>
      <c r="R16" s="8"/>
      <c r="S16" s="9"/>
    </row>
    <row r="17" s="1" customFormat="1" ht="30.5" customHeight="1" spans="1:19">
      <c r="A17" s="61" t="s">
        <v>39</v>
      </c>
      <c r="B17" s="8"/>
      <c r="C17" s="8"/>
      <c r="D17" s="62"/>
      <c r="E17" s="63" t="s">
        <v>36</v>
      </c>
      <c r="F17" s="8"/>
      <c r="G17" s="9"/>
      <c r="H17" s="63" t="s">
        <v>36</v>
      </c>
      <c r="I17" s="8"/>
      <c r="J17" s="9"/>
      <c r="K17" s="47" t="s">
        <v>36</v>
      </c>
      <c r="L17" s="77"/>
      <c r="M17" s="80"/>
      <c r="N17" s="47" t="s">
        <v>36</v>
      </c>
      <c r="O17" s="77"/>
      <c r="P17" s="80"/>
      <c r="Q17" s="47"/>
      <c r="R17" s="77"/>
      <c r="S17" s="80"/>
    </row>
    <row r="18" s="1" customFormat="1" ht="30.5" customHeight="1" spans="1:19">
      <c r="A18" s="76" t="s">
        <v>40</v>
      </c>
      <c r="B18" s="77"/>
      <c r="C18" s="77"/>
      <c r="D18" s="78"/>
      <c r="E18" s="79" t="s">
        <v>36</v>
      </c>
      <c r="F18" s="77"/>
      <c r="G18" s="80"/>
      <c r="H18" s="47" t="s">
        <v>36</v>
      </c>
      <c r="I18" s="77"/>
      <c r="J18" s="80"/>
      <c r="K18" s="47" t="s">
        <v>36</v>
      </c>
      <c r="L18" s="77"/>
      <c r="M18" s="80"/>
      <c r="N18" s="47" t="s">
        <v>36</v>
      </c>
      <c r="O18" s="77"/>
      <c r="P18" s="80"/>
      <c r="Q18" s="47"/>
      <c r="R18" s="77"/>
      <c r="S18" s="80"/>
    </row>
    <row r="19" s="1" customFormat="1" ht="30.5" customHeight="1" spans="1:19">
      <c r="A19" s="76" t="s">
        <v>41</v>
      </c>
      <c r="B19" s="77"/>
      <c r="C19" s="77"/>
      <c r="D19" s="78"/>
      <c r="E19" s="79" t="s">
        <v>42</v>
      </c>
      <c r="F19" s="77"/>
      <c r="G19" s="80"/>
      <c r="H19" s="47" t="s">
        <v>42</v>
      </c>
      <c r="I19" s="77"/>
      <c r="J19" s="80"/>
      <c r="K19" s="47" t="s">
        <v>42</v>
      </c>
      <c r="L19" s="77"/>
      <c r="M19" s="80"/>
      <c r="N19" s="47" t="s">
        <v>42</v>
      </c>
      <c r="O19" s="77"/>
      <c r="P19" s="80"/>
      <c r="Q19" s="47"/>
      <c r="R19" s="77"/>
      <c r="S19" s="80"/>
    </row>
    <row r="20" s="1" customFormat="1" ht="30.5" customHeight="1" spans="1:19">
      <c r="A20" s="76" t="s">
        <v>43</v>
      </c>
      <c r="B20" s="77"/>
      <c r="C20" s="77"/>
      <c r="D20" s="78"/>
      <c r="E20" s="79" t="s">
        <v>42</v>
      </c>
      <c r="F20" s="77"/>
      <c r="G20" s="80"/>
      <c r="H20" s="47" t="s">
        <v>42</v>
      </c>
      <c r="I20" s="77"/>
      <c r="J20" s="80"/>
      <c r="K20" s="47" t="s">
        <v>42</v>
      </c>
      <c r="L20" s="77"/>
      <c r="M20" s="80"/>
      <c r="N20" s="47" t="s">
        <v>42</v>
      </c>
      <c r="O20" s="77"/>
      <c r="P20" s="80"/>
      <c r="Q20" s="47"/>
      <c r="R20" s="77"/>
      <c r="S20" s="80"/>
    </row>
    <row r="21" s="1" customFormat="1" ht="30.5" customHeight="1" spans="1:19">
      <c r="A21" s="76" t="s">
        <v>34</v>
      </c>
      <c r="B21" s="77"/>
      <c r="C21" s="77"/>
      <c r="D21" s="78"/>
      <c r="E21" s="79" t="s">
        <v>44</v>
      </c>
      <c r="F21" s="77"/>
      <c r="G21" s="80"/>
      <c r="H21" s="47" t="s">
        <v>44</v>
      </c>
      <c r="I21" s="77"/>
      <c r="J21" s="80"/>
      <c r="K21" s="47" t="s">
        <v>44</v>
      </c>
      <c r="L21" s="77"/>
      <c r="M21" s="80"/>
      <c r="N21" s="47" t="s">
        <v>44</v>
      </c>
      <c r="O21" s="77"/>
      <c r="P21" s="80"/>
      <c r="Q21" s="47"/>
      <c r="R21" s="77"/>
      <c r="S21" s="80"/>
    </row>
    <row r="22" s="2" customFormat="1" ht="30.5" customHeight="1" spans="1:19">
      <c r="A22" s="76" t="s">
        <v>45</v>
      </c>
      <c r="B22" s="77"/>
      <c r="C22" s="77"/>
      <c r="D22" s="78"/>
      <c r="E22" s="79" t="s">
        <v>46</v>
      </c>
      <c r="F22" s="77"/>
      <c r="G22" s="80"/>
      <c r="H22" s="47" t="s">
        <v>46</v>
      </c>
      <c r="I22" s="77"/>
      <c r="J22" s="80"/>
      <c r="K22" s="47" t="s">
        <v>46</v>
      </c>
      <c r="L22" s="77"/>
      <c r="M22" s="80"/>
      <c r="N22" s="47" t="s">
        <v>46</v>
      </c>
      <c r="O22" s="77"/>
      <c r="P22" s="80"/>
      <c r="Q22" s="47"/>
      <c r="R22" s="77"/>
      <c r="S22" s="80"/>
    </row>
    <row r="23" s="2" customFormat="1" ht="30.5" customHeight="1" spans="1:19">
      <c r="A23" s="81" t="s">
        <v>47</v>
      </c>
      <c r="B23" s="14"/>
      <c r="C23" s="14"/>
      <c r="D23" s="82"/>
      <c r="E23" s="83" t="s">
        <v>48</v>
      </c>
      <c r="F23" s="14"/>
      <c r="G23" s="15"/>
      <c r="H23" s="84" t="s">
        <v>48</v>
      </c>
      <c r="I23" s="14"/>
      <c r="J23" s="15"/>
      <c r="K23" s="84" t="s">
        <v>48</v>
      </c>
      <c r="L23" s="14"/>
      <c r="M23" s="15"/>
      <c r="N23" s="84" t="s">
        <v>48</v>
      </c>
      <c r="O23" s="14"/>
      <c r="P23" s="15"/>
      <c r="Q23" s="84"/>
      <c r="R23" s="14"/>
      <c r="S23" s="15"/>
    </row>
    <row r="24" s="2" customFormat="1" ht="30.5" customHeight="1" spans="1:19">
      <c r="A24" s="81" t="s">
        <v>49</v>
      </c>
      <c r="B24" s="14"/>
      <c r="C24" s="14"/>
      <c r="D24" s="82"/>
      <c r="E24" s="83" t="s">
        <v>50</v>
      </c>
      <c r="F24" s="14"/>
      <c r="G24" s="15"/>
      <c r="H24" s="84" t="s">
        <v>50</v>
      </c>
      <c r="I24" s="14"/>
      <c r="J24" s="15"/>
      <c r="K24" s="84" t="s">
        <v>50</v>
      </c>
      <c r="L24" s="14"/>
      <c r="M24" s="15"/>
      <c r="N24" s="84" t="s">
        <v>50</v>
      </c>
      <c r="O24" s="14"/>
      <c r="P24" s="15"/>
      <c r="Q24" s="84"/>
      <c r="R24" s="14"/>
      <c r="S24" s="15"/>
    </row>
    <row r="25" s="2" customFormat="1" ht="30.5" customHeight="1" spans="1:19">
      <c r="A25" s="85" t="s">
        <v>51</v>
      </c>
      <c r="B25" s="14"/>
      <c r="C25" s="14"/>
      <c r="D25" s="82"/>
      <c r="E25" s="83"/>
      <c r="F25" s="14"/>
      <c r="G25" s="15"/>
      <c r="H25" s="84"/>
      <c r="I25" s="14"/>
      <c r="J25" s="15"/>
      <c r="K25" s="84"/>
      <c r="L25" s="14"/>
      <c r="M25" s="15"/>
      <c r="N25" s="84"/>
      <c r="O25" s="14"/>
      <c r="P25" s="15"/>
      <c r="Q25" s="84"/>
      <c r="R25" s="14"/>
      <c r="S25" s="15"/>
    </row>
  </sheetData>
  <mergeCells count="115">
    <mergeCell ref="A1:S1"/>
    <mergeCell ref="B2:K2"/>
    <mergeCell ref="M2:S2"/>
    <mergeCell ref="B3:K3"/>
    <mergeCell ref="M3:S3"/>
    <mergeCell ref="E4:G4"/>
    <mergeCell ref="H4:J4"/>
    <mergeCell ref="K4:M4"/>
    <mergeCell ref="N4:P4"/>
    <mergeCell ref="Q4:S4"/>
    <mergeCell ref="E5:G5"/>
    <mergeCell ref="H5:J5"/>
    <mergeCell ref="K5:M5"/>
    <mergeCell ref="N5:P5"/>
    <mergeCell ref="Q5:S5"/>
    <mergeCell ref="A10:D10"/>
    <mergeCell ref="E10:G10"/>
    <mergeCell ref="H10:J10"/>
    <mergeCell ref="K10:M10"/>
    <mergeCell ref="N10:P10"/>
    <mergeCell ref="Q10:S10"/>
    <mergeCell ref="A11:D11"/>
    <mergeCell ref="E11:G11"/>
    <mergeCell ref="H11:J11"/>
    <mergeCell ref="K11:M11"/>
    <mergeCell ref="N11:P11"/>
    <mergeCell ref="Q11:S11"/>
    <mergeCell ref="A12:D12"/>
    <mergeCell ref="E12:G12"/>
    <mergeCell ref="H12:J12"/>
    <mergeCell ref="K12:M12"/>
    <mergeCell ref="N12:P12"/>
    <mergeCell ref="Q12:S12"/>
    <mergeCell ref="A13:D13"/>
    <mergeCell ref="E13:G13"/>
    <mergeCell ref="H13:J13"/>
    <mergeCell ref="K13:M13"/>
    <mergeCell ref="N13:P13"/>
    <mergeCell ref="Q13:S13"/>
    <mergeCell ref="A14:D14"/>
    <mergeCell ref="E14:G14"/>
    <mergeCell ref="H14:J14"/>
    <mergeCell ref="K14:M14"/>
    <mergeCell ref="N14:P14"/>
    <mergeCell ref="Q14:S14"/>
    <mergeCell ref="A15:D15"/>
    <mergeCell ref="E15:G15"/>
    <mergeCell ref="H15:J15"/>
    <mergeCell ref="K15:M15"/>
    <mergeCell ref="N15:P15"/>
    <mergeCell ref="Q15:S15"/>
    <mergeCell ref="A16:D16"/>
    <mergeCell ref="E16:G16"/>
    <mergeCell ref="H16:J16"/>
    <mergeCell ref="K16:M16"/>
    <mergeCell ref="N16:P16"/>
    <mergeCell ref="Q16:S16"/>
    <mergeCell ref="A17:D17"/>
    <mergeCell ref="E17:G17"/>
    <mergeCell ref="H17:J17"/>
    <mergeCell ref="K17:M17"/>
    <mergeCell ref="N17:P17"/>
    <mergeCell ref="Q17:S17"/>
    <mergeCell ref="A18:D18"/>
    <mergeCell ref="E18:G18"/>
    <mergeCell ref="H18:J18"/>
    <mergeCell ref="K18:M18"/>
    <mergeCell ref="N18:P18"/>
    <mergeCell ref="Q18:S18"/>
    <mergeCell ref="A19:D19"/>
    <mergeCell ref="E19:G19"/>
    <mergeCell ref="H19:J19"/>
    <mergeCell ref="K19:M19"/>
    <mergeCell ref="N19:P19"/>
    <mergeCell ref="Q19:S19"/>
    <mergeCell ref="A20:D20"/>
    <mergeCell ref="E20:G20"/>
    <mergeCell ref="H20:J20"/>
    <mergeCell ref="K20:M20"/>
    <mergeCell ref="N20:P20"/>
    <mergeCell ref="Q20:S20"/>
    <mergeCell ref="A21:D21"/>
    <mergeCell ref="E21:G21"/>
    <mergeCell ref="H21:J21"/>
    <mergeCell ref="K21:M21"/>
    <mergeCell ref="N21:P21"/>
    <mergeCell ref="Q21:S21"/>
    <mergeCell ref="A22:D22"/>
    <mergeCell ref="E22:G22"/>
    <mergeCell ref="H22:J22"/>
    <mergeCell ref="K22:M22"/>
    <mergeCell ref="N22:P22"/>
    <mergeCell ref="Q22:S22"/>
    <mergeCell ref="A23:D23"/>
    <mergeCell ref="E23:G23"/>
    <mergeCell ref="H23:J23"/>
    <mergeCell ref="K23:M23"/>
    <mergeCell ref="N23:P23"/>
    <mergeCell ref="Q23:S23"/>
    <mergeCell ref="A24:D24"/>
    <mergeCell ref="E24:G24"/>
    <mergeCell ref="H24:J24"/>
    <mergeCell ref="K24:M24"/>
    <mergeCell ref="N24:P24"/>
    <mergeCell ref="Q24:S24"/>
    <mergeCell ref="A25:D25"/>
    <mergeCell ref="E25:G25"/>
    <mergeCell ref="H25:J25"/>
    <mergeCell ref="K25:M25"/>
    <mergeCell ref="N25:P25"/>
    <mergeCell ref="Q25:S25"/>
    <mergeCell ref="A4:A6"/>
    <mergeCell ref="B4:B6"/>
    <mergeCell ref="C4:C6"/>
    <mergeCell ref="D4:D6"/>
  </mergeCells>
  <pageMargins left="0.25" right="0.25" top="0.75" bottom="0.75" header="0.298611111111111" footer="0.298611111111111"/>
  <pageSetup paperSize="9" scale="83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WPS_1782716455</cp:lastModifiedBy>
  <dcterms:created xsi:type="dcterms:W3CDTF">2026-09-12T09:05:00Z</dcterms:created>
  <dcterms:modified xsi:type="dcterms:W3CDTF">2026-10-12T10:15:26Z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3FE1411AE02E469F8D7351A73A90654A_11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
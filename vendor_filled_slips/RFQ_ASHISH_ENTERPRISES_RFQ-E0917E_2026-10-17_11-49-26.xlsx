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42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8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1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5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6" fillId="0" borderId="0" applyAlignment="1">
      <alignment vertical="center"/>
    </xf>
    <xf numFmtId="0" fontId="17" fillId="7" borderId="17" applyAlignment="1">
      <alignment vertical="center"/>
    </xf>
    <xf numFmtId="0" fontId="18" fillId="8" borderId="18" applyAlignment="1">
      <alignment vertical="center"/>
    </xf>
    <xf numFmtId="0" fontId="19" fillId="8" borderId="17" applyAlignment="1">
      <alignment vertical="center"/>
    </xf>
    <xf numFmtId="0" fontId="20" fillId="9" borderId="19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8" pivotButton="0" quotePrefix="0" xfId="0"/>
    <xf numFmtId="0" fontId="0" fillId="0" borderId="2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selection activeCell="J3" sqref="J3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8" t="inlineStr">
        <is>
          <t>Project Name :</t>
        </is>
      </c>
      <c r="B4" s="31" t="inlineStr">
        <is>
          <t>Kohinoor West View</t>
        </is>
      </c>
      <c r="C4" s="50" t="n"/>
      <c r="D4" s="51" t="n"/>
      <c r="E4" s="12" t="inlineStr">
        <is>
          <t>Vendor Legal Name :</t>
        </is>
      </c>
      <c r="F4" s="6" t="inlineStr">
        <is>
          <t>ASHISH ENTERPRISES</t>
        </is>
      </c>
      <c r="G4" s="50" t="n"/>
      <c r="H4" s="52" t="n"/>
    </row>
    <row r="5" ht="18.5" customHeight="1">
      <c r="A5" s="8" t="inlineStr">
        <is>
          <t>Tower /Location :</t>
        </is>
      </c>
      <c r="B5" s="31" t="inlineStr">
        <is>
          <t>Tower A - Phase 2</t>
        </is>
      </c>
      <c r="C5" s="50" t="n"/>
      <c r="D5" s="51" t="n"/>
      <c r="E5" s="12" t="inlineStr">
        <is>
          <t>Quotation Ref No :</t>
        </is>
      </c>
      <c r="F5" s="6" t="inlineStr">
        <is>
          <t>RFQ-E0917E</t>
        </is>
      </c>
      <c r="G5" s="50" t="n"/>
      <c r="H5" s="52" t="n"/>
    </row>
    <row r="6" ht="18.5" customHeight="1">
      <c r="A6" s="8" t="inlineStr">
        <is>
          <t>Enquiry Date :</t>
        </is>
      </c>
      <c r="B6" s="31" t="inlineStr">
        <is>
          <t>2026-10-12</t>
        </is>
      </c>
      <c r="C6" s="50" t="n"/>
      <c r="D6" s="51" t="n"/>
      <c r="E6" s="12" t="inlineStr">
        <is>
          <t>Quotation Date :</t>
        </is>
      </c>
      <c r="F6" s="6" t="inlineStr">
        <is>
          <t>2026-10-17</t>
        </is>
      </c>
      <c r="G6" s="50" t="n"/>
      <c r="H6" s="52" t="n"/>
    </row>
    <row r="7" ht="35" customHeight="1">
      <c r="A7" s="8" t="inlineStr">
        <is>
          <t>Buyer Org :</t>
        </is>
      </c>
      <c r="B7" s="25" t="inlineStr">
        <is>
          <t>Kohinoor Group</t>
        </is>
      </c>
      <c r="C7" s="50" t="n"/>
      <c r="D7" s="51" t="n"/>
      <c r="E7" s="12" t="inlineStr">
        <is>
          <t>Vendor GSTIN No :</t>
        </is>
      </c>
      <c r="F7" s="6" t="inlineStr">
        <is>
          <t>27AAOFA9786F1ZT</t>
        </is>
      </c>
      <c r="G7" s="50" t="n"/>
      <c r="H7" s="52" t="n"/>
    </row>
    <row r="8" ht="35" customHeight="1">
      <c r="A8" s="8" t="inlineStr">
        <is>
          <t>Buyer Contact :</t>
        </is>
      </c>
      <c r="B8" s="25" t="inlineStr">
        <is>
          <t>Purchase Dept</t>
        </is>
      </c>
      <c r="C8" s="50" t="n"/>
      <c r="D8" s="51" t="n"/>
      <c r="E8" s="12" t="inlineStr">
        <is>
          <t>Vendor Contact Person :</t>
        </is>
      </c>
      <c r="F8" s="6" t="inlineStr">
        <is>
          <t>GIRISH ACYACHIT-8149255888</t>
        </is>
      </c>
      <c r="G8" s="50" t="n"/>
      <c r="H8" s="52" t="n"/>
    </row>
    <row r="9" ht="18.5" customHeight="1">
      <c r="A9" s="7" t="inlineStr">
        <is>
          <t>2. ITEM-BY-ITEM PRICE BID (BILL OF QUANTITIES)</t>
        </is>
      </c>
      <c r="B9" s="50" t="n"/>
      <c r="C9" s="50" t="n"/>
      <c r="D9" s="50" t="n"/>
      <c r="E9" s="50" t="n"/>
      <c r="F9" s="50" t="n"/>
      <c r="G9" s="50" t="n"/>
      <c r="H9" s="51" t="n"/>
    </row>
    <row r="10" ht="35" customHeight="1">
      <c r="A10" s="20" t="inlineStr">
        <is>
          <t>Sr.No</t>
        </is>
      </c>
      <c r="B10" s="22" t="inlineStr">
        <is>
          <t>Technical Scope / Material Description</t>
        </is>
      </c>
      <c r="C10" s="51" t="n"/>
      <c r="D10" s="22" t="inlineStr">
        <is>
          <t>Qty</t>
        </is>
      </c>
      <c r="E10" s="22" t="inlineStr">
        <is>
          <t>Unit</t>
        </is>
      </c>
      <c r="F10" s="22" t="inlineStr">
        <is>
          <t>Make / Brand Offered</t>
        </is>
      </c>
      <c r="G10" s="22" t="inlineStr">
        <is>
          <t>Basic Unit Rate (Rate R0) [₹]</t>
        </is>
      </c>
      <c r="H10" s="23" t="inlineStr">
        <is>
          <t>Total Basic Amount [₹]</t>
        </is>
      </c>
    </row>
    <row r="11" ht="32" customHeight="1">
      <c r="A11" s="24" t="n">
        <v>1</v>
      </c>
      <c r="B11" s="25" t="inlineStr">
        <is>
          <t>RMU Transformer 22KV 630A 2+2</t>
        </is>
      </c>
      <c r="C11" s="51" t="n"/>
      <c r="D11" s="31" t="n">
        <v>5</v>
      </c>
      <c r="E11" s="31" t="inlineStr">
        <is>
          <t>Nos</t>
        </is>
      </c>
      <c r="F11" s="40" t="inlineStr">
        <is>
          <t xml:space="preserve">Lucy Electric </t>
        </is>
      </c>
      <c r="G11" s="40" t="n">
        <v>890000</v>
      </c>
      <c r="H11" s="41">
        <f>D11*G11</f>
        <v/>
      </c>
    </row>
    <row r="12" ht="18.5" customHeight="1">
      <c r="A12" s="24" t="n">
        <v>2</v>
      </c>
      <c r="B12" s="31" t="inlineStr">
        <is>
          <t>RMU Transformer 22KV 630A 2+1</t>
        </is>
      </c>
      <c r="C12" s="51" t="n"/>
      <c r="D12" s="31" t="n">
        <v>1</v>
      </c>
      <c r="E12" s="31" t="inlineStr">
        <is>
          <t>Nos</t>
        </is>
      </c>
      <c r="F12" s="40" t="inlineStr">
        <is>
          <t xml:space="preserve">Lucy Electric </t>
        </is>
      </c>
      <c r="G12" s="40" t="n">
        <v>690000</v>
      </c>
      <c r="H12" s="41">
        <f>D12*G12</f>
        <v/>
      </c>
    </row>
    <row r="13" ht="18.5" customHeight="1">
      <c r="A13" s="24" t="n">
        <v>3</v>
      </c>
      <c r="B13" s="31" t="n"/>
      <c r="C13" s="51" t="n"/>
      <c r="D13" s="31" t="n"/>
      <c r="E13" s="31" t="n"/>
      <c r="F13" s="40" t="n"/>
      <c r="G13" s="40" t="n"/>
      <c r="H13" s="41" t="n"/>
    </row>
    <row r="14" ht="18.5" customHeight="1">
      <c r="A14" s="32" t="inlineStr">
        <is>
          <t>TOTAL BASIC BID VALUE (EXCL. TAXES &amp; FREIGHT)</t>
        </is>
      </c>
      <c r="B14" s="50" t="n"/>
      <c r="C14" s="50" t="n"/>
      <c r="D14" s="50" t="n"/>
      <c r="E14" s="50" t="n"/>
      <c r="F14" s="50" t="n"/>
      <c r="G14" s="51" t="n"/>
      <c r="H14" s="33">
        <f>SUM(H11:H13)</f>
        <v/>
      </c>
    </row>
    <row r="15" ht="18.5" customHeight="1">
      <c r="A15" s="7" t="inlineStr">
        <is>
          <t>3. COMMERCIAL TERMS, TAXATION &amp; LOGISTICS SCHEDULE</t>
        </is>
      </c>
      <c r="B15" s="50" t="n"/>
      <c r="C15" s="50" t="n"/>
      <c r="D15" s="50" t="n"/>
      <c r="E15" s="50" t="n"/>
      <c r="F15" s="50" t="n"/>
      <c r="G15" s="50" t="n"/>
      <c r="H15" s="51" t="n"/>
    </row>
    <row r="16" ht="18.5" customHeight="1">
      <c r="A16" s="34" t="inlineStr">
        <is>
          <t>Sr</t>
        </is>
      </c>
      <c r="B16" s="36" t="inlineStr">
        <is>
          <t>Commercial Parameter</t>
        </is>
      </c>
      <c r="C16" s="50" t="n"/>
      <c r="D16" s="51" t="n"/>
      <c r="E16" s="36" t="inlineStr">
        <is>
          <t>Vendor Declared Terms (Select or Enter Value)</t>
        </is>
      </c>
      <c r="F16" s="50" t="n"/>
      <c r="G16" s="51" t="n"/>
      <c r="H16" s="37" t="inlineStr">
        <is>
          <t>Cost Implication [₹]</t>
        </is>
      </c>
    </row>
    <row r="17" ht="18.5" customHeight="1">
      <c r="A17" s="38" t="n">
        <v>1</v>
      </c>
      <c r="B17" s="39" t="inlineStr">
        <is>
          <t>Basic Value</t>
        </is>
      </c>
      <c r="C17" s="50" t="n"/>
      <c r="D17" s="51" t="n"/>
      <c r="E17" s="40" t="n"/>
      <c r="F17" s="50" t="n"/>
      <c r="G17" s="51" t="n"/>
      <c r="H17" s="41">
        <f>H14</f>
        <v/>
      </c>
    </row>
    <row r="18" ht="18.5" customHeight="1">
      <c r="A18" s="38" t="n">
        <v>2</v>
      </c>
      <c r="B18" s="39" t="inlineStr">
        <is>
          <t>Transport</t>
        </is>
      </c>
      <c r="C18" s="50" t="n"/>
      <c r="D18" s="51" t="n"/>
      <c r="E18" s="40" t="inlineStr">
        <is>
          <t>No EXTRA</t>
        </is>
      </c>
      <c r="F18" s="50" t="n"/>
      <c r="G18" s="51" t="n"/>
      <c r="H18" s="41">
        <f>H14</f>
        <v/>
      </c>
    </row>
    <row r="19" ht="18.5" customHeight="1">
      <c r="A19" s="38" t="n">
        <v>3</v>
      </c>
      <c r="B19" s="39" t="inlineStr">
        <is>
          <t>GST</t>
        </is>
      </c>
      <c r="C19" s="50" t="n"/>
      <c r="D19" s="51" t="n"/>
      <c r="E19" s="40" t="inlineStr">
        <is>
          <t>18% GST</t>
        </is>
      </c>
      <c r="F19" s="50" t="n"/>
      <c r="G19" s="51" t="n"/>
      <c r="H19" s="41">
        <f>(H17+H18)*0.18</f>
        <v/>
      </c>
    </row>
    <row r="20" ht="18.5" customHeight="1">
      <c r="A20" s="38" t="n">
        <v>4</v>
      </c>
      <c r="B20" s="39" t="inlineStr">
        <is>
          <t>Final Value / Amount</t>
        </is>
      </c>
      <c r="C20" s="50" t="n"/>
      <c r="D20" s="51" t="n"/>
      <c r="E20" s="40" t="n"/>
      <c r="F20" s="50" t="n"/>
      <c r="G20" s="51" t="n"/>
      <c r="H20" s="41">
        <f>H17+H18+H19</f>
        <v/>
      </c>
    </row>
    <row r="21" ht="18.5" customHeight="1">
      <c r="A21" s="38" t="n">
        <v>5</v>
      </c>
      <c r="B21" s="39" t="inlineStr">
        <is>
          <t>Loading</t>
        </is>
      </c>
      <c r="C21" s="50" t="n"/>
      <c r="D21" s="51" t="n"/>
      <c r="E21" s="40" t="inlineStr">
        <is>
          <t>Included</t>
        </is>
      </c>
      <c r="F21" s="50" t="n"/>
      <c r="G21" s="51" t="n"/>
      <c r="H21" s="41" t="inlineStr">
        <is>
          <t>-</t>
        </is>
      </c>
    </row>
    <row r="22" ht="18.5" customHeight="1">
      <c r="A22" s="38" t="n">
        <v>6</v>
      </c>
      <c r="B22" s="39" t="inlineStr">
        <is>
          <t>Unloading</t>
        </is>
      </c>
      <c r="C22" s="50" t="n"/>
      <c r="D22" s="51" t="n"/>
      <c r="E22" s="40" t="inlineStr">
        <is>
          <t>Buyer Scope</t>
        </is>
      </c>
      <c r="F22" s="50" t="n"/>
      <c r="G22" s="51" t="n"/>
      <c r="H22" s="41" t="inlineStr">
        <is>
          <t>-</t>
        </is>
      </c>
    </row>
    <row r="23" ht="18.5" customHeight="1">
      <c r="A23" s="38" t="n">
        <v>7</v>
      </c>
      <c r="B23" s="39" t="inlineStr">
        <is>
          <t>Insurance</t>
        </is>
      </c>
      <c r="C23" s="50" t="n"/>
      <c r="D23" s="51" t="n"/>
      <c r="E23" s="40" t="inlineStr">
        <is>
          <t>Not Applicable</t>
        </is>
      </c>
      <c r="F23" s="50" t="n"/>
      <c r="G23" s="51" t="n"/>
      <c r="H23" s="41" t="inlineStr">
        <is>
          <t>-</t>
        </is>
      </c>
    </row>
    <row r="24" ht="18.5" customHeight="1">
      <c r="A24" s="38" t="n">
        <v>8</v>
      </c>
      <c r="B24" s="39" t="inlineStr">
        <is>
          <t>Erection / Commissioning / Installation</t>
        </is>
      </c>
      <c r="C24" s="50" t="n"/>
      <c r="D24" s="51" t="n"/>
      <c r="E24" s="40" t="inlineStr">
        <is>
          <t>Included</t>
        </is>
      </c>
      <c r="F24" s="50" t="n"/>
      <c r="G24" s="51" t="n"/>
      <c r="H24" s="41" t="inlineStr">
        <is>
          <t>-</t>
        </is>
      </c>
    </row>
    <row r="25" ht="18.5" customHeight="1">
      <c r="A25" s="38" t="n">
        <v>9</v>
      </c>
      <c r="B25" s="39" t="inlineStr">
        <is>
          <t>Warranty</t>
        </is>
      </c>
      <c r="C25" s="50" t="n"/>
      <c r="D25" s="51" t="n"/>
      <c r="E25" s="40" t="inlineStr">
        <is>
          <t>5 Year Standard</t>
        </is>
      </c>
      <c r="F25" s="50" t="n"/>
      <c r="G25" s="51" t="n"/>
      <c r="H25" s="41" t="inlineStr">
        <is>
          <t>-</t>
        </is>
      </c>
    </row>
    <row r="26" ht="18.5" customHeight="1">
      <c r="A26" s="38" t="n">
        <v>10</v>
      </c>
      <c r="B26" s="39" t="inlineStr">
        <is>
          <t>Guarantee</t>
        </is>
      </c>
      <c r="C26" s="50" t="n"/>
      <c r="D26" s="51" t="n"/>
      <c r="E26" s="40" t="inlineStr">
        <is>
          <t>5 Year Standard</t>
        </is>
      </c>
      <c r="F26" s="50" t="n"/>
      <c r="G26" s="51" t="n"/>
      <c r="H26" s="41" t="inlineStr">
        <is>
          <t>-</t>
        </is>
      </c>
    </row>
    <row r="27" ht="18.5" customHeight="1">
      <c r="A27" s="38" t="n">
        <v>11</v>
      </c>
      <c r="B27" s="39" t="inlineStr">
        <is>
          <t>Earlier Supplied</t>
        </is>
      </c>
      <c r="C27" s="50" t="n"/>
      <c r="D27" s="51" t="n"/>
      <c r="E27" s="40" t="inlineStr">
        <is>
          <t>Yes</t>
        </is>
      </c>
      <c r="F27" s="50" t="n"/>
      <c r="G27" s="51" t="n"/>
      <c r="H27" s="41" t="inlineStr">
        <is>
          <t>-</t>
        </is>
      </c>
    </row>
    <row r="28" ht="18.5" customHeight="1">
      <c r="A28" s="38" t="n">
        <v>12</v>
      </c>
      <c r="B28" s="39" t="inlineStr">
        <is>
          <t>Delivery Timeline</t>
        </is>
      </c>
      <c r="C28" s="50" t="n"/>
      <c r="D28" s="51" t="n"/>
      <c r="E28" s="40" t="inlineStr">
        <is>
          <t>4-6 WEEKS</t>
        </is>
      </c>
      <c r="F28" s="50" t="n"/>
      <c r="G28" s="51" t="n"/>
      <c r="H28" s="41" t="inlineStr">
        <is>
          <t>-</t>
        </is>
      </c>
    </row>
    <row r="29" ht="18.5" customHeight="1">
      <c r="A29" s="38" t="n">
        <v>13</v>
      </c>
      <c r="B29" s="39" t="inlineStr">
        <is>
          <t>Payment Terms</t>
        </is>
      </c>
      <c r="C29" s="50" t="n"/>
      <c r="D29" s="51" t="n"/>
      <c r="E29" s="40" t="inlineStr">
        <is>
          <t>40% Advance</t>
        </is>
      </c>
      <c r="F29" s="50" t="n"/>
      <c r="G29" s="51" t="n"/>
      <c r="H29" s="41" t="inlineStr">
        <is>
          <t>-</t>
        </is>
      </c>
    </row>
    <row r="30" ht="18.5" customHeight="1">
      <c r="A30" s="42" t="n">
        <v>14</v>
      </c>
      <c r="B30" s="43" t="inlineStr">
        <is>
          <t>Price Validity</t>
        </is>
      </c>
      <c r="C30" s="53" t="n"/>
      <c r="D30" s="54" t="n"/>
      <c r="E30" s="45" t="inlineStr">
        <is>
          <t>1 Week</t>
        </is>
      </c>
      <c r="F30" s="53" t="n"/>
      <c r="G30" s="54" t="n"/>
      <c r="H30" s="46" t="inlineStr">
        <is>
          <t>-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2026-10-17T06:19:26Z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
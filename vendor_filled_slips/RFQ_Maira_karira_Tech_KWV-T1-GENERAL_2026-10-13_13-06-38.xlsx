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425" windowHeight="7500"/>
  </bookViews>
  <sheets>
    <sheet name="RFQ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<sst xmlns="http://schemas.openxmlformats.org/spreadsheetml/2006/main" count="79" uniqueCount="66">
  <si>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STANDARD REQUEST FOR QUOTATION (RFQ)</t>
  </si>
  <si>
    <t>INSTRUCTIONS: Please fill in all yellow-highlighted cells. Do not alter descriptions, quantities, or calculation formulas.</t>
  </si>
  <si>
    <t>1. PROJECT &amp; VENDOR REGISTRATION DETAILS</t>
  </si>
  <si>
    <t>Project Name :</t>
  </si>
  <si>
    <t>Kohinoor West View</t>
  </si>
  <si>
    <t>Vendor Legal Name :</t>
  </si>
  <si>
    <t>Maira karira Tech</t>
  </si>
  <si>
    <t>Tower /Location :</t>
  </si>
  <si>
    <t>Tower A - Phase 2</t>
  </si>
  <si>
    <t>Quotation Ref No :</t>
  </si>
  <si>
    <t>KWV-T1-GENERAL</t>
  </si>
  <si>
    <t>Enquiry Date :</t>
  </si>
  <si>
    <t>2026-10-12</t>
  </si>
  <si>
    <t>Quotation Date :</t>
  </si>
  <si>
    <t>Buyer Org :</t>
  </si>
  <si>
    <t>Kohinoor Group</t>
  </si>
  <si>
    <t>Vendor GSTIN No :</t>
  </si>
  <si>
    <t>27AAAAA0000A1Z8</t>
  </si>
  <si>
    <t>Buyer Contact :</t>
  </si>
  <si>
    <t>Purchase Dept</t>
  </si>
  <si>
    <t>Vendor Contact Person :</t>
  </si>
  <si>
    <t>Raj Rathod</t>
  </si>
  <si>
    <t>2. ITEM-BY-ITEM PRICE BID (BILL OF QUANTITIES)</t>
  </si>
  <si>
    <t>Sr.No</t>
  </si>
  <si>
    <t>Technical Scope / Material Description</t>
  </si>
  <si>
    <t>Qty</t>
  </si>
  <si>
    <t>Unit</t>
  </si>
  <si>
    <t>Make / Brand Offered</t>
  </si>
  <si>
    <t>Basic Unit Rate (Rate R0) [₹]</t>
  </si>
  <si>
    <t>Total Basic Amount [₹]</t>
  </si>
  <si>
    <t>AAC Blocks (600x200x150mm)</t>
  </si>
  <si>
    <t>Nos</t>
  </si>
  <si>
    <t>SuperBlock</t>
  </si>
  <si>
    <t xml:space="preserve">Polymer </t>
  </si>
  <si>
    <t>Bags</t>
  </si>
  <si>
    <t>Roff</t>
  </si>
  <si>
    <t>TOTAL BASIC BID VALUE (EXCL. TAXES &amp; FREIGHT)</t>
  </si>
  <si>
    <t>3. COMMERCIAL TERMS, TAXATION &amp; LOGISTICS SCHEDULE</t>
  </si>
  <si>
    <t>Sr</t>
  </si>
  <si>
    <t>Commercial Parameter</t>
  </si>
  <si>
    <t>Vendor Declared Terms (Select or Enter Value)</t>
  </si>
  <si>
    <t>Cost Implication [₹]</t>
  </si>
  <si>
    <t>Basic Value</t>
  </si>
  <si>
    <t>Transport</t>
  </si>
  <si>
    <t>No</t>
  </si>
  <si>
    <t>GST</t>
  </si>
  <si>
    <t>18% GST</t>
  </si>
  <si>
    <t>Final Value / Amount</t>
  </si>
  <si>
    <t>Loading</t>
  </si>
  <si>
    <t>Included</t>
  </si>
  <si>
    <t>-</t>
  </si>
  <si>
    <t>Unloading</t>
  </si>
  <si>
    <t>Insurance</t>
  </si>
  <si>
    <t>Not Applicable</t>
  </si>
  <si>
    <t>Erection / Commissioning / Installation</t>
  </si>
  <si>
    <t>Warranty</t>
  </si>
  <si>
    <t>1 Year Standard</t>
  </si>
  <si>
    <t>Guarantee</t>
  </si>
  <si>
    <t>Earlier Supplied</t>
  </si>
  <si>
    <t>Yes</t>
  </si>
  <si>
    <t>Delivery Timeline</t>
  </si>
  <si>
    <t>Within 7 Days</t>
  </si>
  <si>
    <t>Payment Terms</t>
  </si>
  <si>
    <t>30 Days Credit</t>
  </si>
  <si>
    <t>Price Validity</t>
  </si>
  <si>
    <t>60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</si>
</sst>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Microsoft YaHei"/>
      <charset val="134"/>
    </font>
    <font>
      <i/>
      <sz val="10"/>
      <color rgb="FF333333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1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6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5" fillId="0" borderId="0">
      <alignment vertical="center"/>
    </xf>
    <xf numFmtId="0" fontId="16" fillId="7" borderId="18">
      <alignment vertical="center"/>
    </xf>
    <xf numFmtId="0" fontId="17" fillId="8" borderId="19">
      <alignment vertical="center"/>
    </xf>
    <xf numFmtId="0" fontId="18" fillId="8" borderId="18">
      <alignment vertical="center"/>
    </xf>
    <xf numFmtId="0" fontId="19" fillId="9" borderId="20">
      <alignment vertical="center"/>
    </xf>
    <xf numFmtId="0" fontId="20" fillId="0" borderId="21">
      <alignment vertical="center"/>
    </xf>
    <xf numFmtId="0" fontId="21" fillId="0" borderId="22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9" xfId="0" applyBorder="1"/>
    <xf numFmtId="0" fontId="5" fillId="0" borderId="7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5" fillId="5" borderId="1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I2" sqref="I2"/>
    </sheetView>
  </sheetViews>
  <sheetFormatPr defaultColWidth="9" defaultRowHeight="15" outlineLevelCol="7"/>
  <cols>
    <col min="1" max="1" width="18.4285714285714" customWidth="1"/>
    <col min="2" max="2" width="31.2095238095238" customWidth="1"/>
    <col min="3" max="3" width="15" customWidth="1"/>
    <col min="4" max="4" width="10.7142857142857" customWidth="1"/>
    <col min="5" max="5" width="28.1428571428571" customWidth="1"/>
    <col min="6" max="6" width="22.3333333333333" customWidth="1"/>
    <col min="7" max="7" width="16.7142857142857" customWidth="1"/>
    <col min="8" max="8" width="23.2857142857143" customWidth="1"/>
  </cols>
  <sheetData>
    <row r="1" ht="24.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35" customHeight="1" spans="1:8">
      <c r="A2" s="4" t="s">
        <v>1</v>
      </c>
      <c r="B2" s="5"/>
      <c r="C2" s="5"/>
      <c r="D2" s="5"/>
      <c r="E2" s="5"/>
      <c r="F2" s="5"/>
      <c r="G2" s="5"/>
      <c r="H2" s="6"/>
    </row>
    <row r="3" ht="18.5" customHeight="1" spans="1:8">
      <c r="A3" s="7" t="s">
        <v>2</v>
      </c>
      <c r="B3" s="5"/>
      <c r="C3" s="5"/>
      <c r="D3" s="5"/>
      <c r="E3" s="5"/>
      <c r="F3" s="5"/>
      <c r="G3" s="5"/>
      <c r="H3" s="6"/>
    </row>
    <row r="4" ht="18.5" customHeight="1" spans="1:8">
      <c r="A4" s="8" t="s">
        <v>3</v>
      </c>
      <c r="B4" s="9" t="s">
        <v>4</v>
      </c>
      <c r="C4" s="5"/>
      <c r="D4" s="6"/>
      <c r="E4" s="10" t="s">
        <v>5</v>
      </c>
      <c r="F4" s="11" t="s">
        <v>6</v>
      </c>
      <c r="G4" s="5"/>
      <c r="H4" s="12"/>
    </row>
    <row r="5" ht="18.5" customHeight="1" spans="1:8">
      <c r="A5" s="8" t="s">
        <v>7</v>
      </c>
      <c r="B5" s="9" t="s">
        <v>8</v>
      </c>
      <c r="C5" s="5"/>
      <c r="D5" s="6"/>
      <c r="E5" s="10" t="s">
        <v>9</v>
      </c>
      <c r="F5" s="11" t="s">
        <v>10</v>
      </c>
      <c r="G5" s="5"/>
      <c r="H5" s="12"/>
    </row>
    <row r="6" ht="18.5" customHeight="1" spans="1:8">
      <c r="A6" s="8" t="s">
        <v>11</v>
      </c>
      <c r="B6" s="9" t="s">
        <v>12</v>
      </c>
      <c r="C6" s="5"/>
      <c r="D6" s="6"/>
      <c r="E6" s="10" t="s">
        <v>13</v>
      </c>
      <c r="F6" s="11" t="s">
        <v>12</v>
      </c>
      <c r="G6" s="5"/>
      <c r="H6" s="12"/>
    </row>
    <row r="7" ht="35" customHeight="1" spans="1:8">
      <c r="A7" s="8" t="s">
        <v>14</v>
      </c>
      <c r="B7" s="13" t="s">
        <v>15</v>
      </c>
      <c r="C7" s="5"/>
      <c r="D7" s="6"/>
      <c r="E7" s="10" t="s">
        <v>16</v>
      </c>
      <c r="F7" s="11" t="s">
        <v>17</v>
      </c>
      <c r="G7" s="5"/>
      <c r="H7" s="12"/>
    </row>
    <row r="8" ht="35" customHeight="1" spans="1:8">
      <c r="A8" s="8" t="s">
        <v>18</v>
      </c>
      <c r="B8" s="13" t="s">
        <v>19</v>
      </c>
      <c r="C8" s="5"/>
      <c r="D8" s="6"/>
      <c r="E8" s="10" t="s">
        <v>20</v>
      </c>
      <c r="F8" s="11" t="s">
        <v>21</v>
      </c>
      <c r="G8" s="5"/>
      <c r="H8" s="12"/>
    </row>
    <row r="9" ht="18.5" customHeight="1" spans="1:8">
      <c r="A9" s="7" t="s">
        <v>22</v>
      </c>
      <c r="B9" s="5"/>
      <c r="C9" s="5"/>
      <c r="D9" s="5"/>
      <c r="E9" s="5"/>
      <c r="F9" s="5"/>
      <c r="G9" s="5"/>
      <c r="H9" s="6"/>
    </row>
    <row r="10" ht="35" customHeight="1" spans="1:8">
      <c r="A10" s="14" t="s">
        <v>23</v>
      </c>
      <c r="B10" s="15" t="s">
        <v>24</v>
      </c>
      <c r="C10" s="6"/>
      <c r="D10" s="15" t="s">
        <v>25</v>
      </c>
      <c r="E10" s="15" t="s">
        <v>26</v>
      </c>
      <c r="F10" s="15" t="s">
        <v>27</v>
      </c>
      <c r="G10" s="15" t="s">
        <v>28</v>
      </c>
      <c r="H10" s="16" t="s">
        <v>29</v>
      </c>
    </row>
    <row r="11" ht="32" customHeight="1" spans="1:8">
      <c r="A11" s="17">
        <v>1</v>
      </c>
      <c r="B11" s="13" t="s">
        <v>30</v>
      </c>
      <c r="C11" s="6"/>
      <c r="D11" s="9">
        <v>500</v>
      </c>
      <c r="E11" s="9" t="s">
        <v>31</v>
      </c>
      <c r="F11" s="18" t="s">
        <v>32</v>
      </c>
      <c r="G11" s="18">
        <v>123</v>
      </c>
      <c r="H11" s="19">
        <f>D11*G11</f>
        <v>61500</v>
      </c>
    </row>
    <row r="12" ht="18.5" customHeight="1" spans="1:8">
      <c r="A12" s="17">
        <v>2</v>
      </c>
      <c r="B12" s="9" t="s">
        <v>33</v>
      </c>
      <c r="C12" s="6"/>
      <c r="D12" s="9">
        <v>200</v>
      </c>
      <c r="E12" s="9" t="s">
        <v>34</v>
      </c>
      <c r="F12" s="18" t="s">
        <v>35</v>
      </c>
      <c r="G12" s="18">
        <v>12</v>
      </c>
      <c r="H12" s="19">
        <f>D12*G12</f>
        <v>2400</v>
      </c>
    </row>
    <row r="13" ht="18.5" customHeight="1" spans="1:8">
      <c r="A13" s="17">
        <v>3</v>
      </c>
      <c r="B13" s="9"/>
      <c r="C13" s="6"/>
      <c r="D13" s="9"/>
      <c r="E13" s="9"/>
      <c r="F13" s="18"/>
      <c r="G13" s="18"/>
      <c r="H13" s="19"/>
    </row>
    <row r="14" ht="18.5" customHeight="1" spans="1:8">
      <c r="A14" s="20" t="s">
        <v>36</v>
      </c>
      <c r="B14" s="5"/>
      <c r="C14" s="5"/>
      <c r="D14" s="5"/>
      <c r="E14" s="5"/>
      <c r="F14" s="5"/>
      <c r="G14" s="6"/>
      <c r="H14" s="21">
        <f>SUM(H11:H13)</f>
        <v>63900</v>
      </c>
    </row>
    <row r="15" ht="18.5" customHeight="1" spans="1:8">
      <c r="A15" s="7" t="s">
        <v>37</v>
      </c>
      <c r="B15" s="5"/>
      <c r="C15" s="5"/>
      <c r="D15" s="5"/>
      <c r="E15" s="5"/>
      <c r="F15" s="5"/>
      <c r="G15" s="5"/>
      <c r="H15" s="6"/>
    </row>
    <row r="16" ht="18.5" customHeight="1" spans="1:8">
      <c r="A16" s="22" t="s">
        <v>38</v>
      </c>
      <c r="B16" s="23" t="s">
        <v>39</v>
      </c>
      <c r="C16" s="5"/>
      <c r="D16" s="6"/>
      <c r="E16" s="23" t="s">
        <v>40</v>
      </c>
      <c r="F16" s="5"/>
      <c r="G16" s="6"/>
      <c r="H16" s="24" t="s">
        <v>41</v>
      </c>
    </row>
    <row r="17" ht="18.5" customHeight="1" spans="1:8">
      <c r="A17" s="25">
        <v>1</v>
      </c>
      <c r="B17" s="26" t="s">
        <v>42</v>
      </c>
      <c r="C17" s="5"/>
      <c r="D17" s="6"/>
      <c r="E17" s="18"/>
      <c r="F17" s="5"/>
      <c r="G17" s="6"/>
      <c r="H17" s="19">
        <f>H14</f>
        <v>63900</v>
      </c>
    </row>
    <row r="18" ht="18.5" customHeight="1" spans="1:8">
      <c r="A18" s="25">
        <v>2</v>
      </c>
      <c r="B18" s="26" t="s">
        <v>43</v>
      </c>
      <c r="C18" s="5"/>
      <c r="D18" s="6"/>
      <c r="E18" s="18" t="s">
        <v>44</v>
      </c>
      <c r="F18" s="5"/>
      <c r="G18" s="6"/>
      <c r="H18" s="19">
        <f>H14</f>
        <v>63900</v>
      </c>
    </row>
    <row r="19" ht="18.5" customHeight="1" spans="1:8">
      <c r="A19" s="25">
        <v>3</v>
      </c>
      <c r="B19" s="26" t="s">
        <v>45</v>
      </c>
      <c r="C19" s="5"/>
      <c r="D19" s="6"/>
      <c r="E19" s="18" t="s">
        <v>46</v>
      </c>
      <c r="F19" s="5"/>
      <c r="G19" s="6"/>
      <c r="H19" s="19">
        <f>(H17+H18)*0.18</f>
        <v>23004</v>
      </c>
    </row>
    <row r="20" ht="18.5" customHeight="1" spans="1:8">
      <c r="A20" s="25">
        <v>4</v>
      </c>
      <c r="B20" s="26" t="s">
        <v>47</v>
      </c>
      <c r="C20" s="5"/>
      <c r="D20" s="6"/>
      <c r="E20" s="18"/>
      <c r="F20" s="5"/>
      <c r="G20" s="6"/>
      <c r="H20" s="19">
        <f>H17+H18+H19</f>
        <v>150804</v>
      </c>
    </row>
    <row r="21" ht="18.5" customHeight="1" spans="1:8">
      <c r="A21" s="25">
        <v>5</v>
      </c>
      <c r="B21" s="26" t="s">
        <v>48</v>
      </c>
      <c r="C21" s="5"/>
      <c r="D21" s="6"/>
      <c r="E21" s="18" t="s">
        <v>49</v>
      </c>
      <c r="F21" s="5"/>
      <c r="G21" s="6"/>
      <c r="H21" s="19" t="s">
        <v>50</v>
      </c>
    </row>
    <row r="22" ht="18.5" customHeight="1" spans="1:8">
      <c r="A22" s="25">
        <v>6</v>
      </c>
      <c r="B22" s="26" t="s">
        <v>51</v>
      </c>
      <c r="C22" s="5"/>
      <c r="D22" s="6"/>
      <c r="E22" s="18" t="s">
        <v>49</v>
      </c>
      <c r="F22" s="5"/>
      <c r="G22" s="6"/>
      <c r="H22" s="19" t="s">
        <v>50</v>
      </c>
    </row>
    <row r="23" ht="18.5" customHeight="1" spans="1:8">
      <c r="A23" s="25">
        <v>7</v>
      </c>
      <c r="B23" s="26" t="s">
        <v>52</v>
      </c>
      <c r="C23" s="5"/>
      <c r="D23" s="6"/>
      <c r="E23" s="18" t="s">
        <v>53</v>
      </c>
      <c r="F23" s="5"/>
      <c r="G23" s="6"/>
      <c r="H23" s="19" t="s">
        <v>50</v>
      </c>
    </row>
    <row r="24" ht="18.5" customHeight="1" spans="1:8">
      <c r="A24" s="25">
        <v>8</v>
      </c>
      <c r="B24" s="26" t="s">
        <v>54</v>
      </c>
      <c r="C24" s="5"/>
      <c r="D24" s="6"/>
      <c r="E24" s="18" t="s">
        <v>49</v>
      </c>
      <c r="F24" s="5"/>
      <c r="G24" s="6"/>
      <c r="H24" s="19" t="s">
        <v>50</v>
      </c>
    </row>
    <row r="25" ht="18.5" customHeight="1" spans="1:8">
      <c r="A25" s="25">
        <v>9</v>
      </c>
      <c r="B25" s="26" t="s">
        <v>55</v>
      </c>
      <c r="C25" s="5"/>
      <c r="D25" s="6"/>
      <c r="E25" s="18" t="s">
        <v>56</v>
      </c>
      <c r="F25" s="5"/>
      <c r="G25" s="6"/>
      <c r="H25" s="19" t="s">
        <v>50</v>
      </c>
    </row>
    <row r="26" ht="18.5" customHeight="1" spans="1:8">
      <c r="A26" s="25">
        <v>10</v>
      </c>
      <c r="B26" s="26" t="s">
        <v>57</v>
      </c>
      <c r="C26" s="5"/>
      <c r="D26" s="6"/>
      <c r="E26" s="18" t="s">
        <v>56</v>
      </c>
      <c r="F26" s="5"/>
      <c r="G26" s="6"/>
      <c r="H26" s="19" t="s">
        <v>50</v>
      </c>
    </row>
    <row r="27" ht="18.5" customHeight="1" spans="1:8">
      <c r="A27" s="25">
        <v>11</v>
      </c>
      <c r="B27" s="26" t="s">
        <v>58</v>
      </c>
      <c r="C27" s="5"/>
      <c r="D27" s="6"/>
      <c r="E27" s="18" t="s">
        <v>59</v>
      </c>
      <c r="F27" s="5"/>
      <c r="G27" s="6"/>
      <c r="H27" s="19" t="s">
        <v>50</v>
      </c>
    </row>
    <row r="28" ht="18.5" customHeight="1" spans="1:8">
      <c r="A28" s="25">
        <v>12</v>
      </c>
      <c r="B28" s="26" t="s">
        <v>60</v>
      </c>
      <c r="C28" s="5"/>
      <c r="D28" s="6"/>
      <c r="E28" s="18" t="s">
        <v>61</v>
      </c>
      <c r="F28" s="5"/>
      <c r="G28" s="6"/>
      <c r="H28" s="19" t="s">
        <v>50</v>
      </c>
    </row>
    <row r="29" ht="18.5" customHeight="1" spans="1:8">
      <c r="A29" s="25">
        <v>13</v>
      </c>
      <c r="B29" s="26" t="s">
        <v>62</v>
      </c>
      <c r="C29" s="5"/>
      <c r="D29" s="6"/>
      <c r="E29" s="18" t="s">
        <v>63</v>
      </c>
      <c r="F29" s="5"/>
      <c r="G29" s="6"/>
      <c r="H29" s="19" t="s">
        <v>50</v>
      </c>
    </row>
    <row r="30" ht="18.5" customHeight="1" spans="1:8">
      <c r="A30" s="27">
        <v>14</v>
      </c>
      <c r="B30" s="28" t="s">
        <v>64</v>
      </c>
      <c r="C30" s="29"/>
      <c r="D30" s="30"/>
      <c r="E30" s="31" t="s">
        <v>65</v>
      </c>
      <c r="F30" s="29"/>
      <c r="G30" s="30"/>
      <c r="H30" s="32" t="s">
        <v>50</v>
      </c>
    </row>
  </sheetData>
  <mergeCells count="50">
    <mergeCell ref="A1:H1"/>
    <mergeCell ref="A2:H2"/>
    <mergeCell ref="A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A9:H9"/>
    <mergeCell ref="B10:C10"/>
    <mergeCell ref="B11:C11"/>
    <mergeCell ref="B12:C12"/>
    <mergeCell ref="B13:C13"/>
    <mergeCell ref="A14:G14"/>
    <mergeCell ref="A15:H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RFQ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WPS_1782716455</cp:lastModifiedBy>
  <dcterms:created xsi:type="dcterms:W3CDTF">2026-10-13T07:17:00Z</dcterms:created>
  <dcterms:modified xsi:type="dcterms:W3CDTF">2026-10-13T07:44:52Z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DDCFC80D7A914891B0934DE6FD1AB62C_13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
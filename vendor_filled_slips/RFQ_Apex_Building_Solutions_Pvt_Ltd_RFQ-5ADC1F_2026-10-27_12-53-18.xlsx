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B12" workbookViewId="0">
      <selection activeCell="J20" sqref="J20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Apex Building Solutions Pvt Ltd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A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RFQ-5ADC1F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27CCCCZ9012H1Z9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Amit Deshmukh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bids@apexbuildingsolutions.in</t>
        </is>
      </c>
      <c r="C9" s="50" t="n"/>
      <c r="D9" s="51" t="n"/>
      <c r="E9" s="14" t="inlineStr">
        <is>
          <t>Vendor Phone / Contact No:</t>
        </is>
      </c>
      <c r="F9" s="53" t="inlineStr">
        <is>
          <t>+91 9922334455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Office 402, Business Bay, Baner Road, Pune - 411045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Portland Cement (50 kg Bag)</t>
        </is>
      </c>
      <c r="C13" s="51" t="n"/>
      <c r="D13" s="25" t="n">
        <v>500</v>
      </c>
      <c r="E13" s="25" t="inlineStr">
        <is>
          <t>Nos</t>
        </is>
      </c>
      <c r="F13" s="26" t="inlineStr">
        <is>
          <t>UltraTech</t>
        </is>
      </c>
      <c r="G13" s="26" t="n">
        <v>380</v>
      </c>
      <c r="H13" s="27">
        <f>D13*G13</f>
        <v/>
      </c>
    </row>
    <row r="14" ht="18.5" customHeight="1">
      <c r="A14" s="24" t="n">
        <v>2</v>
      </c>
      <c r="B14" s="25" t="inlineStr">
        <is>
          <t>TMT Steel Bars Fe 500D (12mm</t>
        </is>
      </c>
      <c r="C14" s="51" t="n"/>
      <c r="D14" s="25" t="n">
        <v>10</v>
      </c>
      <c r="E14" s="25" t="inlineStr">
        <is>
          <t>Bags</t>
        </is>
      </c>
      <c r="F14" s="26" t="inlineStr">
        <is>
          <t>Kamdhenu</t>
        </is>
      </c>
      <c r="G14" s="26" t="n">
        <v>54000</v>
      </c>
      <c r="H14" s="27">
        <f>D14*G14</f>
        <v/>
      </c>
    </row>
    <row r="15" ht="18.5" customHeight="1">
      <c r="A15" s="24" t="n">
        <v>3</v>
      </c>
      <c r="B15" s="25" t="inlineStr">
        <is>
          <t>Crushed Stone Aggregate (20mm)</t>
        </is>
      </c>
      <c r="C15" s="51" t="n"/>
      <c r="D15" s="25" t="n">
        <v>200</v>
      </c>
      <c r="E15" s="25" t="inlineStr">
        <is>
          <t>Nos</t>
        </is>
      </c>
      <c r="F15" s="26" t="inlineStr">
        <is>
          <t>Local Premium Quarry</t>
        </is>
      </c>
      <c r="G15" s="26" t="n">
        <v>1200</v>
      </c>
      <c r="H15" s="27">
        <f>D15*G15</f>
        <v/>
      </c>
    </row>
    <row r="16" ht="18.5" customHeight="1">
      <c r="A16" s="24" t="n">
        <v>4</v>
      </c>
      <c r="B16" s="25" t="n"/>
      <c r="C16" s="51" t="n"/>
      <c r="D16" s="25" t="n"/>
      <c r="E16" s="25" t="n"/>
      <c r="F16" s="26" t="n"/>
      <c r="G16" s="26" t="n"/>
      <c r="H16" s="27" t="n"/>
    </row>
    <row r="17" ht="18.5" customHeight="1">
      <c r="A17" s="24" t="n">
        <v>5</v>
      </c>
      <c r="B17" s="25" t="n"/>
      <c r="C17" s="51" t="n"/>
      <c r="D17" s="25" t="n"/>
      <c r="E17" s="25" t="n"/>
      <c r="F17" s="26" t="n"/>
      <c r="G17" s="26" t="n"/>
      <c r="H17" s="27" t="n"/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E22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(H21+H22)*0.18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H21+H22+H23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Not Applicable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N/A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1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1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N/A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2026-10-27T07:23:18Z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
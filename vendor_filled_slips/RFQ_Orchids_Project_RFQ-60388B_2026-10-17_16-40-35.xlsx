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'Sheet1'!$A$1:$H$30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&quot;₹&quot;#,##0.0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3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595959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1F4E79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rgb="FF002060"/>
      <sz val="10"/>
    </font>
    <font>
      <name val="Microsoft YaHei"/>
      <charset val="134"/>
      <b val="1"/>
      <color rgb="FFFFFFFF"/>
      <sz val="11"/>
    </font>
    <font>
      <name val="Microsoft YaHei"/>
      <charset val="134"/>
      <b val="1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b val="1"/>
      <color rgb="FFFFFFFF"/>
      <sz val="10"/>
    </font>
  </fonts>
  <fills count="40">
    <fill>
      <patternFill/>
    </fill>
    <fill>
      <patternFill patternType="gray125"/>
    </fill>
    <fill>
      <patternFill patternType="solid">
        <fgColor theme="4"/>
        <bgColor rgb="FF1F4E79"/>
      </patternFill>
    </fill>
    <fill>
      <patternFill patternType="solid">
        <fgColor theme="4"/>
        <bgColor rgb="FF2F5597"/>
      </patternFill>
    </fill>
    <fill>
      <patternFill patternType="solid">
        <fgColor theme="4"/>
        <bgColor indexed="64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theme="4" tint="-0.25"/>
        <bgColor rgb="FF1F4E79"/>
      </patternFill>
    </fill>
    <fill>
      <patternFill patternType="solid">
        <fgColor theme="4" tint="-0.2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18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9" applyAlignment="1">
      <alignment vertical="center"/>
    </xf>
    <xf numFmtId="0" fontId="17" fillId="0" borderId="19" applyAlignment="1">
      <alignment vertical="center"/>
    </xf>
    <xf numFmtId="0" fontId="18" fillId="0" borderId="20" applyAlignment="1">
      <alignment vertical="center"/>
    </xf>
    <xf numFmtId="0" fontId="18" fillId="0" borderId="0" applyAlignment="1">
      <alignment vertical="center"/>
    </xf>
    <xf numFmtId="0" fontId="19" fillId="11" borderId="21" applyAlignment="1">
      <alignment vertical="center"/>
    </xf>
    <xf numFmtId="0" fontId="20" fillId="12" borderId="22" applyAlignment="1">
      <alignment vertical="center"/>
    </xf>
    <xf numFmtId="0" fontId="21" fillId="12" borderId="21" applyAlignment="1">
      <alignment vertical="center"/>
    </xf>
    <xf numFmtId="0" fontId="22" fillId="13" borderId="23" applyAlignment="1">
      <alignment vertical="center"/>
    </xf>
    <xf numFmtId="0" fontId="23" fillId="0" borderId="24" applyAlignment="1">
      <alignment vertical="center"/>
    </xf>
    <xf numFmtId="0" fontId="24" fillId="0" borderId="25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4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8" fillId="39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left" vertical="center" wrapText="1"/>
    </xf>
    <xf numFmtId="0" fontId="7" fillId="5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left" vertical="center" wrapText="1"/>
    </xf>
    <xf numFmtId="0" fontId="8" fillId="6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left" vertical="center" wrapText="1"/>
    </xf>
    <xf numFmtId="0" fontId="7" fillId="5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left" vertical="center" wrapText="1"/>
    </xf>
    <xf numFmtId="0" fontId="8" fillId="6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164" fontId="7" fillId="5" borderId="13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center" vertical="center" wrapText="1"/>
    </xf>
    <xf numFmtId="0" fontId="9" fillId="7" borderId="10" applyAlignment="1" pivotButton="0" quotePrefix="0" xfId="0">
      <alignment horizontal="center" vertical="center" wrapText="1"/>
    </xf>
    <xf numFmtId="0" fontId="10" fillId="8" borderId="10" applyAlignment="1" pivotButton="0" quotePrefix="0" xfId="0">
      <alignment horizontal="center" vertical="center" wrapText="1"/>
    </xf>
    <xf numFmtId="0" fontId="9" fillId="7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165" fontId="8" fillId="6" borderId="13" applyAlignment="1" pivotButton="0" quotePrefix="0" xfId="0">
      <alignment horizontal="center" vertical="center" wrapText="1"/>
    </xf>
    <xf numFmtId="165" fontId="7" fillId="5" borderId="14" applyAlignment="1" pivotButton="0" quotePrefix="0" xfId="0">
      <alignment horizontal="center" vertical="center" wrapText="1"/>
    </xf>
    <xf numFmtId="0" fontId="7" fillId="9" borderId="12" applyAlignment="1" pivotButton="0" quotePrefix="0" xfId="0">
      <alignment horizontal="center" vertical="center" wrapText="1"/>
    </xf>
    <xf numFmtId="165" fontId="7" fillId="9" borderId="14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4" fillId="7" borderId="10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 wrapText="1"/>
    </xf>
    <xf numFmtId="0" fontId="7" fillId="9" borderId="13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165" fontId="8" fillId="6" borderId="14" applyAlignment="1" pivotButton="0" quotePrefix="0" xfId="0">
      <alignment horizontal="center" vertical="center" wrapText="1"/>
    </xf>
    <xf numFmtId="0" fontId="6" fillId="9" borderId="13" applyAlignment="1" pivotButton="0" quotePrefix="0" xfId="0">
      <alignment horizontal="center" vertical="center" wrapText="1"/>
    </xf>
    <xf numFmtId="165" fontId="6" fillId="9" borderId="14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center" vertical="center" wrapText="1"/>
    </xf>
    <xf numFmtId="0" fontId="7" fillId="5" borderId="17" applyAlignment="1" pivotButton="0" quotePrefix="0" xfId="0">
      <alignment horizontal="center" vertical="center" wrapText="1"/>
    </xf>
    <xf numFmtId="0" fontId="2" fillId="2" borderId="2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29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8" pivotButton="0" quotePrefix="0" xfId="0"/>
    <xf numFmtId="164" fontId="7" fillId="5" borderId="13" applyAlignment="1" pivotButton="0" quotePrefix="0" xfId="0">
      <alignment horizontal="center" vertical="center" wrapText="1"/>
    </xf>
    <xf numFmtId="165" fontId="8" fillId="6" borderId="13" applyAlignment="1" pivotButton="0" quotePrefix="0" xfId="0">
      <alignment horizontal="center" vertical="center" wrapText="1"/>
    </xf>
    <xf numFmtId="165" fontId="7" fillId="5" borderId="14" applyAlignment="1" pivotButton="0" quotePrefix="0" xfId="0">
      <alignment horizontal="center" vertical="center" wrapText="1"/>
    </xf>
    <xf numFmtId="165" fontId="7" fillId="9" borderId="14" applyAlignment="1" pivotButton="0" quotePrefix="0" xfId="0">
      <alignment horizontal="center" vertical="center" wrapText="1"/>
    </xf>
    <xf numFmtId="165" fontId="8" fillId="6" borderId="14" applyAlignment="1" pivotButton="0" quotePrefix="0" xfId="0">
      <alignment horizontal="center" vertical="center" wrapText="1"/>
    </xf>
    <xf numFmtId="165" fontId="6" fillId="9" borderId="14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H33"/>
  <sheetViews>
    <sheetView tabSelected="1" workbookViewId="0">
      <selection activeCell="B10" sqref="B10:C10"/>
    </sheetView>
  </sheetViews>
  <sheetFormatPr baseColWidth="8" defaultColWidth="15.5714285714286" defaultRowHeight="15"/>
  <cols>
    <col width="17.4285714285714" customWidth="1" style="1" min="1" max="1"/>
    <col width="15.5714285714286" customWidth="1" style="1" min="2" max="2"/>
    <col width="30.1428571428571" customWidth="1" style="1" min="3" max="3"/>
    <col width="15.5714285714286" customWidth="1" style="1" min="4" max="4"/>
    <col width="23.8571428571429" customWidth="1" style="1" min="5" max="5"/>
    <col width="15.5714285714286" customWidth="1" style="1" min="6" max="6"/>
    <col width="18.1428571428571" customWidth="1" style="1" min="7" max="7"/>
    <col width="15.5714285714286" customWidth="1" style="1" min="8" max="16384"/>
  </cols>
  <sheetData>
    <row r="1" ht="24.5" customFormat="1" customHeight="1" s="1">
      <c r="A1" s="48" t="inlineStr">
        <is>
          <t>STANDARD REQUEST FOR QUOTATION (RFQ)</t>
        </is>
      </c>
      <c r="B1" s="49" t="n"/>
      <c r="C1" s="49" t="n"/>
      <c r="D1" s="49" t="n"/>
      <c r="E1" s="49" t="n"/>
      <c r="F1" s="49" t="n"/>
      <c r="G1" s="49" t="n"/>
      <c r="H1" s="50" t="n"/>
    </row>
    <row r="2" ht="35" customFormat="1" customHeight="1" s="1">
      <c r="A2" s="51" t="inlineStr">
        <is>
          <t>INSTRUCTIONS: Please fill in all yellow-highlighted cells. Do not alter descriptions, quantities, or calculation formulas.</t>
        </is>
      </c>
      <c r="H2" s="52" t="n"/>
    </row>
    <row r="3" ht="18.5" customFormat="1" customHeight="1" s="1">
      <c r="A3" s="8" t="inlineStr">
        <is>
          <t>1. PROJECT &amp; VENDOR REGISTRATION DETAILS</t>
        </is>
      </c>
      <c r="B3" s="49" t="n"/>
      <c r="C3" s="49" t="n"/>
      <c r="D3" s="49" t="n"/>
      <c r="E3" s="49" t="n"/>
      <c r="F3" s="49" t="n"/>
      <c r="G3" s="49" t="n"/>
      <c r="H3" s="53" t="n"/>
    </row>
    <row r="4" ht="18.5" customFormat="1" customHeight="1" s="1">
      <c r="A4" s="11" t="inlineStr">
        <is>
          <t>Project Name :</t>
        </is>
      </c>
      <c r="B4" s="12" t="inlineStr">
        <is>
          <t>Kohinoor West View</t>
        </is>
      </c>
      <c r="C4" s="54" t="n"/>
      <c r="D4" s="55" t="n"/>
      <c r="E4" s="14" t="inlineStr">
        <is>
          <t>Vendor Legal Name :</t>
        </is>
      </c>
      <c r="F4" s="15" t="inlineStr">
        <is>
          <t>Orchids Project</t>
        </is>
      </c>
      <c r="G4" s="54" t="n"/>
      <c r="H4" s="55" t="n"/>
    </row>
    <row r="5" ht="18.5" customFormat="1" customHeight="1" s="1">
      <c r="A5" s="17" t="inlineStr">
        <is>
          <t>Tower /Location :</t>
        </is>
      </c>
      <c r="B5" s="18" t="inlineStr">
        <is>
          <t>Tower A - Phase 2</t>
        </is>
      </c>
      <c r="C5" s="56" t="n"/>
      <c r="D5" s="57" t="n"/>
      <c r="E5" s="20" t="inlineStr">
        <is>
          <t>Quotation Ref No :</t>
        </is>
      </c>
      <c r="F5" s="21" t="inlineStr">
        <is>
          <t>RFQ-60388B</t>
        </is>
      </c>
      <c r="G5" s="56" t="n"/>
      <c r="H5" s="57" t="n"/>
    </row>
    <row r="6" ht="18.5" customFormat="1" customHeight="1" s="1">
      <c r="A6" s="17" t="inlineStr">
        <is>
          <t>Enquiry Date :</t>
        </is>
      </c>
      <c r="B6" s="58" t="inlineStr">
        <is>
          <t>2026-10-12</t>
        </is>
      </c>
      <c r="C6" s="56" t="n"/>
      <c r="D6" s="57" t="n"/>
      <c r="E6" s="20" t="inlineStr">
        <is>
          <t>Quotation Date :</t>
        </is>
      </c>
      <c r="F6" s="21" t="inlineStr">
        <is>
          <t>2026-10-12</t>
        </is>
      </c>
      <c r="G6" s="56" t="n"/>
      <c r="H6" s="57" t="n"/>
    </row>
    <row r="7" ht="18.5" customFormat="1" customHeight="1" s="1">
      <c r="A7" s="17" t="inlineStr">
        <is>
          <t>Buyer Org :</t>
        </is>
      </c>
      <c r="B7" s="18" t="inlineStr">
        <is>
          <t>Kohinoor Group</t>
        </is>
      </c>
      <c r="C7" s="56" t="n"/>
      <c r="D7" s="57" t="n"/>
      <c r="E7" s="20" t="inlineStr">
        <is>
          <t>Vendor GSTIN No :</t>
        </is>
      </c>
      <c r="F7" s="21" t="inlineStr">
        <is>
          <t>27AAAAA0000A1Z3</t>
        </is>
      </c>
      <c r="G7" s="56" t="n"/>
      <c r="H7" s="57" t="n"/>
    </row>
    <row r="8" ht="18.5" customFormat="1" customHeight="1" s="1">
      <c r="A8" s="17" t="inlineStr">
        <is>
          <t>Buyer Contact :</t>
        </is>
      </c>
      <c r="B8" s="18" t="inlineStr">
        <is>
          <t>Purchase Dept</t>
        </is>
      </c>
      <c r="C8" s="56" t="n"/>
      <c r="D8" s="57" t="n"/>
      <c r="E8" s="20" t="inlineStr">
        <is>
          <t>Vendor Contact Person :</t>
        </is>
      </c>
      <c r="F8" s="21" t="inlineStr">
        <is>
          <t>Om Pathak</t>
        </is>
      </c>
      <c r="G8" s="56" t="n"/>
      <c r="H8" s="57" t="n"/>
    </row>
    <row r="9" ht="18.5" customFormat="1" customHeight="1" s="1">
      <c r="A9" s="8" t="inlineStr">
        <is>
          <t>orchid1@gmail.com</t>
        </is>
      </c>
      <c r="B9" s="49" t="n"/>
      <c r="C9" s="49" t="n"/>
      <c r="D9" s="49" t="n"/>
      <c r="E9" s="49" t="n"/>
      <c r="F9" s="49" t="n"/>
      <c r="G9" s="49" t="n"/>
      <c r="H9" s="53" t="n"/>
    </row>
    <row r="10" ht="35" customFormat="1" customHeight="1" s="1">
      <c r="A10" s="24" t="inlineStr">
        <is>
          <t>Sr.No</t>
        </is>
      </c>
      <c r="B10" s="25" t="inlineStr">
        <is>
          <t>Kothrud</t>
        </is>
      </c>
      <c r="C10" s="55" t="n"/>
      <c r="D10" s="25" t="inlineStr">
        <is>
          <t>Qty</t>
        </is>
      </c>
      <c r="E10" s="25" t="inlineStr">
        <is>
          <t>Unit</t>
        </is>
      </c>
      <c r="F10" s="25" t="inlineStr">
        <is>
          <t>Make / Brand Offered</t>
        </is>
      </c>
      <c r="G10" s="25" t="inlineStr">
        <is>
          <t>Basic Unit Rate (Rate R0) [₹]</t>
        </is>
      </c>
      <c r="H10" s="27" t="inlineStr">
        <is>
          <t>Total Basic Amount [₹]</t>
        </is>
      </c>
    </row>
    <row r="11" ht="18.5" customFormat="1" customHeight="1" s="1">
      <c r="A11" s="28" t="n">
        <v>1</v>
      </c>
      <c r="B11" s="18" t="n"/>
      <c r="C11" s="57" t="n"/>
      <c r="D11" s="18" t="n"/>
      <c r="E11" s="18" t="n"/>
      <c r="F11" s="21" t="n"/>
      <c r="G11" s="59" t="n"/>
      <c r="H11" s="60">
        <f>D11*G11</f>
        <v/>
      </c>
    </row>
    <row r="12" ht="18.5" customFormat="1" customHeight="1" s="1">
      <c r="A12" s="28" t="n">
        <v>2</v>
      </c>
      <c r="B12" s="18" t="n"/>
      <c r="C12" s="57" t="n"/>
      <c r="D12" s="18" t="n"/>
      <c r="E12" s="18" t="n"/>
      <c r="F12" s="21" t="n"/>
      <c r="G12" s="59" t="n"/>
      <c r="H12" s="60">
        <f>D12*G12</f>
        <v/>
      </c>
    </row>
    <row r="13" ht="18.5" customFormat="1" customHeight="1" s="1">
      <c r="A13" s="28" t="n">
        <v>3</v>
      </c>
      <c r="B13" s="18" t="inlineStr">
        <is>
          <t>AAC Blocks (600x200x150mm)</t>
        </is>
      </c>
      <c r="C13" s="57" t="n"/>
      <c r="D13" s="18" t="n">
        <v>500</v>
      </c>
      <c r="E13" s="18" t="inlineStr">
        <is>
          <t>Nos</t>
        </is>
      </c>
      <c r="F13" s="21" t="inlineStr">
        <is>
          <t>SuperBlock</t>
        </is>
      </c>
      <c r="G13" s="59" t="n">
        <v>23</v>
      </c>
      <c r="H13" s="60">
        <f>D13*G13</f>
        <v/>
      </c>
    </row>
    <row r="14" ht="18.5" customFormat="1" customHeight="1" s="1">
      <c r="A14" s="31" t="n">
        <v>234</v>
      </c>
      <c r="B14" s="56" t="n"/>
      <c r="C14" s="56" t="n"/>
      <c r="D14" s="56" t="n"/>
      <c r="E14" s="56" t="n"/>
      <c r="F14" s="56" t="n"/>
      <c r="G14" s="57" t="n"/>
      <c r="H14" s="61">
        <f>D14*G14</f>
        <v/>
      </c>
    </row>
    <row r="15" ht="18.5" customFormat="1" customHeight="1" s="1">
      <c r="A15" s="8" t="inlineStr">
        <is>
          <t>3. COMMERCIAL TERMS, TAXATION &amp; LOGISTICS SCHEDULE</t>
        </is>
      </c>
      <c r="B15" s="49" t="n"/>
      <c r="C15" s="49" t="n"/>
      <c r="D15" s="49" t="n"/>
      <c r="E15" s="49" t="n"/>
      <c r="F15" s="49" t="n"/>
      <c r="G15" s="49" t="n"/>
      <c r="H15" s="53" t="n"/>
    </row>
    <row r="16" ht="18.5" customFormat="1" customHeight="1" s="1">
      <c r="A16" s="33" t="inlineStr">
        <is>
          <t>Sr</t>
        </is>
      </c>
      <c r="B16" s="34" t="inlineStr">
        <is>
          <t>Commercial Parameter</t>
        </is>
      </c>
      <c r="C16" s="54" t="n"/>
      <c r="D16" s="55" t="n"/>
      <c r="E16" s="34" t="inlineStr">
        <is>
          <t>Vendor Declared Terms (Select or Enter Value)</t>
        </is>
      </c>
      <c r="F16" s="54" t="n"/>
      <c r="G16" s="55" t="n"/>
      <c r="H16" s="36">
        <f>SUM(H13:H15)</f>
        <v/>
      </c>
    </row>
    <row r="17" ht="18.5" customFormat="1" customHeight="1" s="1">
      <c r="A17" s="31" t="inlineStr">
        <is>
          <t>1</t>
        </is>
      </c>
      <c r="B17" s="37" t="inlineStr">
        <is>
          <t>Basic Value</t>
        </is>
      </c>
      <c r="C17" s="56" t="n"/>
      <c r="D17" s="57" t="n"/>
      <c r="E17" s="37" t="n"/>
      <c r="F17" s="56" t="n"/>
      <c r="G17" s="57" t="n"/>
      <c r="H17" s="61">
        <f>H14</f>
        <v/>
      </c>
    </row>
    <row r="18" ht="18.5" customFormat="1" customHeight="1" s="1">
      <c r="A18" s="28" t="inlineStr">
        <is>
          <t>2</t>
        </is>
      </c>
      <c r="B18" s="38" t="inlineStr">
        <is>
          <t>Transport</t>
        </is>
      </c>
      <c r="C18" s="56" t="n"/>
      <c r="D18" s="57" t="n"/>
      <c r="E18" s="21" t="n"/>
      <c r="F18" s="56" t="n"/>
      <c r="G18" s="57" t="n"/>
      <c r="H18" s="62" t="n">
        <v>0</v>
      </c>
    </row>
    <row r="19" ht="18.5" customFormat="1" customHeight="1" s="1">
      <c r="A19" s="28" t="inlineStr">
        <is>
          <t>3</t>
        </is>
      </c>
      <c r="B19" s="38" t="inlineStr">
        <is>
          <t>GST</t>
        </is>
      </c>
      <c r="C19" s="56" t="n"/>
      <c r="D19" s="57" t="n"/>
      <c r="E19" s="18" t="n"/>
      <c r="F19" s="56" t="n"/>
      <c r="G19" s="57" t="n"/>
      <c r="H19" s="60">
        <f>H16</f>
        <v/>
      </c>
    </row>
    <row r="20" ht="18.5" customFormat="1" customHeight="1" s="1">
      <c r="A20" s="31" t="inlineStr">
        <is>
          <t>4</t>
        </is>
      </c>
      <c r="B20" s="40" t="inlineStr">
        <is>
          <t>Final Value / Amount</t>
        </is>
      </c>
      <c r="C20" s="56" t="n"/>
      <c r="D20" s="57" t="n"/>
      <c r="E20" s="37" t="inlineStr">
        <is>
          <t>No</t>
        </is>
      </c>
      <c r="F20" s="56" t="n"/>
      <c r="G20" s="57" t="n"/>
      <c r="H20" s="63">
        <f>H17+H19+IF(ISNUMBER(H18),H18,0)</f>
        <v/>
      </c>
    </row>
    <row r="21" ht="18.5" customFormat="1" customHeight="1" s="1">
      <c r="A21" s="28" t="inlineStr">
        <is>
          <t>5</t>
        </is>
      </c>
      <c r="B21" s="38" t="inlineStr">
        <is>
          <t>Loading</t>
        </is>
      </c>
      <c r="C21" s="56" t="n"/>
      <c r="D21" s="57" t="n"/>
      <c r="E21" s="21" t="inlineStr">
        <is>
          <t>18% GST</t>
        </is>
      </c>
      <c r="F21" s="56" t="n"/>
      <c r="G21" s="57" t="n"/>
      <c r="H21" s="42">
        <f>(H19+H20)*0.18</f>
        <v/>
      </c>
    </row>
    <row r="22" ht="18.5" customFormat="1" customHeight="1" s="1">
      <c r="A22" s="28" t="inlineStr">
        <is>
          <t>6</t>
        </is>
      </c>
      <c r="B22" s="38" t="inlineStr">
        <is>
          <t>Unloading</t>
        </is>
      </c>
      <c r="C22" s="56" t="n"/>
      <c r="D22" s="57" t="n"/>
      <c r="E22" s="21" t="n"/>
      <c r="F22" s="56" t="n"/>
      <c r="G22" s="57" t="n"/>
      <c r="H22" s="42">
        <f>H19+H20+H21</f>
        <v/>
      </c>
    </row>
    <row r="23" ht="18.5" customFormat="1" customHeight="1" s="1">
      <c r="A23" s="28" t="inlineStr">
        <is>
          <t>7</t>
        </is>
      </c>
      <c r="B23" s="38" t="inlineStr">
        <is>
          <t>Insurance</t>
        </is>
      </c>
      <c r="C23" s="56" t="n"/>
      <c r="D23" s="57" t="n"/>
      <c r="E23" s="21" t="inlineStr">
        <is>
          <t>Included</t>
        </is>
      </c>
      <c r="F23" s="56" t="n"/>
      <c r="G23" s="57" t="n"/>
      <c r="H23" s="42" t="inlineStr">
        <is>
          <t>-</t>
        </is>
      </c>
    </row>
    <row r="24" ht="35" customFormat="1" customHeight="1" s="1">
      <c r="A24" s="28" t="inlineStr">
        <is>
          <t>8</t>
        </is>
      </c>
      <c r="B24" s="38" t="inlineStr">
        <is>
          <t>Erection / Commissioning / Installation</t>
        </is>
      </c>
      <c r="C24" s="56" t="n"/>
      <c r="D24" s="57" t="n"/>
      <c r="E24" s="21" t="inlineStr">
        <is>
          <t>Included</t>
        </is>
      </c>
      <c r="F24" s="56" t="n"/>
      <c r="G24" s="57" t="n"/>
      <c r="H24" s="42" t="inlineStr">
        <is>
          <t>-</t>
        </is>
      </c>
    </row>
    <row r="25" ht="18.5" customFormat="1" customHeight="1" s="1">
      <c r="A25" s="28" t="inlineStr">
        <is>
          <t>9</t>
        </is>
      </c>
      <c r="B25" s="38" t="inlineStr">
        <is>
          <t>Warranty</t>
        </is>
      </c>
      <c r="C25" s="56" t="n"/>
      <c r="D25" s="57" t="n"/>
      <c r="E25" s="21" t="inlineStr">
        <is>
          <t>Not Applicable</t>
        </is>
      </c>
      <c r="F25" s="56" t="n"/>
      <c r="G25" s="57" t="n"/>
      <c r="H25" s="42" t="inlineStr">
        <is>
          <t>-</t>
        </is>
      </c>
    </row>
    <row r="26" ht="18.5" customFormat="1" customHeight="1" s="1">
      <c r="A26" s="28" t="inlineStr">
        <is>
          <t>10</t>
        </is>
      </c>
      <c r="B26" s="38" t="inlineStr">
        <is>
          <t>Guarantee</t>
        </is>
      </c>
      <c r="C26" s="56" t="n"/>
      <c r="D26" s="57" t="n"/>
      <c r="E26" s="21" t="inlineStr">
        <is>
          <t>Included</t>
        </is>
      </c>
      <c r="F26" s="56" t="n"/>
      <c r="G26" s="57" t="n"/>
      <c r="H26" s="42" t="inlineStr">
        <is>
          <t>-</t>
        </is>
      </c>
    </row>
    <row r="27" ht="18.5" customFormat="1" customHeight="1" s="1">
      <c r="A27" s="28" t="inlineStr">
        <is>
          <t>11</t>
        </is>
      </c>
      <c r="B27" s="38" t="inlineStr">
        <is>
          <t>Earlier Supplied</t>
        </is>
      </c>
      <c r="C27" s="56" t="n"/>
      <c r="D27" s="57" t="n"/>
      <c r="E27" s="21" t="inlineStr">
        <is>
          <t>1 Year Standard</t>
        </is>
      </c>
      <c r="F27" s="56" t="n"/>
      <c r="G27" s="57" t="n"/>
      <c r="H27" s="42" t="inlineStr">
        <is>
          <t>-</t>
        </is>
      </c>
    </row>
    <row r="28" ht="18.5" customFormat="1" customHeight="1" s="1">
      <c r="A28" s="28" t="inlineStr">
        <is>
          <t>12</t>
        </is>
      </c>
      <c r="B28" s="38" t="inlineStr">
        <is>
          <t>Delivery Timeline</t>
        </is>
      </c>
      <c r="C28" s="56" t="n"/>
      <c r="D28" s="57" t="n"/>
      <c r="E28" s="21" t="inlineStr">
        <is>
          <t>1 Year Standard</t>
        </is>
      </c>
      <c r="F28" s="56" t="n"/>
      <c r="G28" s="57" t="n"/>
      <c r="H28" s="42" t="inlineStr">
        <is>
          <t>-</t>
        </is>
      </c>
    </row>
    <row r="29" ht="18.5" customFormat="1" customHeight="1" s="1">
      <c r="A29" s="28" t="inlineStr">
        <is>
          <t>13</t>
        </is>
      </c>
      <c r="B29" s="38" t="inlineStr">
        <is>
          <t>Payment Terms</t>
        </is>
      </c>
      <c r="C29" s="56" t="n"/>
      <c r="D29" s="57" t="n"/>
      <c r="E29" s="21" t="inlineStr">
        <is>
          <t>Yes</t>
        </is>
      </c>
      <c r="F29" s="56" t="n"/>
      <c r="G29" s="57" t="n"/>
      <c r="H29" s="42" t="inlineStr">
        <is>
          <t>-</t>
        </is>
      </c>
    </row>
    <row r="30" ht="18.5" customFormat="1" customHeight="1" s="1">
      <c r="A30" s="43" t="inlineStr">
        <is>
          <t>14</t>
        </is>
      </c>
      <c r="B30" s="44" t="inlineStr">
        <is>
          <t>Price Validity</t>
        </is>
      </c>
      <c r="C30" s="64" t="n"/>
      <c r="D30" s="65" t="n"/>
      <c r="E30" s="46" t="inlineStr">
        <is>
          <t>Within 7 Days</t>
        </is>
      </c>
      <c r="F30" s="64" t="n"/>
      <c r="G30" s="65" t="n"/>
      <c r="H30" s="47" t="inlineStr">
        <is>
          <t>-</t>
        </is>
      </c>
    </row>
    <row r="31">
      <c r="E31" t="inlineStr">
        <is>
          <t>30 Days Credit</t>
        </is>
      </c>
    </row>
    <row r="32">
      <c r="E32" t="inlineStr">
        <is>
          <t>60 Days</t>
        </is>
      </c>
    </row>
    <row r="33">
      <c r="E33" t="inlineStr">
        <is>
          <t>N/A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  <pageSetup orientation="landscape" paperSize="9" blackAndWhit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Computer</dc:creator>
  <dcterms:created xmlns:dcterms="http://purl.org/dc/terms/" xmlns:xsi="http://www.w3.org/2001/XMLSchema-instance" xsi:type="dcterms:W3CDTF">2026-09-26T05:37:00Z</dcterms:created>
  <dcterms:modified xmlns:dcterms="http://purl.org/dc/terms/" xmlns:xsi="http://www.w3.org/2001/XMLSchema-instance" xsi:type="dcterms:W3CDTF">2026-10-17T11:10:35Z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EEF4B6D744614F588465099A63FB3DC2_11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1</vt:i4>
  </property>
</Properties>
</file>